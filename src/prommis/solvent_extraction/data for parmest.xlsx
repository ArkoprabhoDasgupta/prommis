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pdgh\Desktop\code work\prommis\src\prommis\solvent_extraction\"/>
    </mc:Choice>
  </mc:AlternateContent>
  <xr:revisionPtr revIDLastSave="0" documentId="13_ncr:1_{CFD8F15A-5B79-489D-9B9E-8DC2B597BF6C}" xr6:coauthVersionLast="47" xr6:coauthVersionMax="47" xr10:uidLastSave="{00000000-0000-0000-0000-000000000000}"/>
  <bookViews>
    <workbookView xWindow="-108" yWindow="-108" windowWidth="23256" windowHeight="12816" firstSheet="7" activeTab="11" xr2:uid="{00000000-000D-0000-FFFF-FFFF00000000}"/>
  </bookViews>
  <sheets>
    <sheet name="Sheet1" sheetId="1" r:id="rId1"/>
    <sheet name="Sheet2" sheetId="2" r:id="rId2"/>
    <sheet name="Sheet3" sheetId="3" r:id="rId3"/>
    <sheet name="model validation new" sheetId="4" r:id="rId4"/>
    <sheet name="model validation" sheetId="5" r:id="rId5"/>
    <sheet name="parameter values" sheetId="6" r:id="rId6"/>
    <sheet name="parameter values feed dosage" sheetId="7" r:id="rId7"/>
    <sheet name="parameter values out dosage" sheetId="8" r:id="rId8"/>
    <sheet name="impurities new" sheetId="9" r:id="rId9"/>
    <sheet name="impurities" sheetId="10" r:id="rId10"/>
    <sheet name="new parameter values" sheetId="11" r:id="rId11"/>
    <sheet name="Fe only" sheetId="12" r:id="rId12"/>
  </sheets>
  <calcPr calcId="191029"/>
</workbook>
</file>

<file path=xl/calcChain.xml><?xml version="1.0" encoding="utf-8"?>
<calcChain xmlns="http://schemas.openxmlformats.org/spreadsheetml/2006/main">
  <c r="J11" i="10" l="1"/>
  <c r="N11" i="10" s="1"/>
  <c r="I11" i="10"/>
  <c r="M11" i="10" s="1"/>
  <c r="H11" i="10"/>
  <c r="L11" i="10" s="1"/>
  <c r="G11" i="10"/>
  <c r="K11" i="10" s="1"/>
  <c r="J10" i="10"/>
  <c r="N10" i="10" s="1"/>
  <c r="I10" i="10"/>
  <c r="M10" i="10" s="1"/>
  <c r="H10" i="10"/>
  <c r="L10" i="10" s="1"/>
  <c r="G10" i="10"/>
  <c r="K10" i="10" s="1"/>
  <c r="J9" i="10"/>
  <c r="N9" i="10" s="1"/>
  <c r="I9" i="10"/>
  <c r="M9" i="10" s="1"/>
  <c r="H9" i="10"/>
  <c r="L9" i="10" s="1"/>
  <c r="G9" i="10"/>
  <c r="K9" i="10" s="1"/>
  <c r="J8" i="10"/>
  <c r="N8" i="10" s="1"/>
  <c r="I8" i="10"/>
  <c r="M8" i="10" s="1"/>
  <c r="H8" i="10"/>
  <c r="L8" i="10" s="1"/>
  <c r="G8" i="10"/>
  <c r="K8" i="10" s="1"/>
  <c r="J7" i="10"/>
  <c r="N7" i="10" s="1"/>
  <c r="I7" i="10"/>
  <c r="M7" i="10" s="1"/>
  <c r="H7" i="10"/>
  <c r="L7" i="10" s="1"/>
  <c r="G7" i="10"/>
  <c r="K7" i="10" s="1"/>
  <c r="J6" i="10"/>
  <c r="N6" i="10" s="1"/>
  <c r="I6" i="10"/>
  <c r="M6" i="10" s="1"/>
  <c r="H6" i="10"/>
  <c r="L6" i="10" s="1"/>
  <c r="G6" i="10"/>
  <c r="K6" i="10" s="1"/>
  <c r="J5" i="10"/>
  <c r="N5" i="10" s="1"/>
  <c r="I5" i="10"/>
  <c r="M5" i="10" s="1"/>
  <c r="H5" i="10"/>
  <c r="L5" i="10" s="1"/>
  <c r="G5" i="10"/>
  <c r="K5" i="10" s="1"/>
  <c r="J4" i="10"/>
  <c r="N4" i="10" s="1"/>
  <c r="I4" i="10"/>
  <c r="M4" i="10" s="1"/>
  <c r="H4" i="10"/>
  <c r="L4" i="10" s="1"/>
  <c r="G4" i="10"/>
  <c r="K4" i="10" s="1"/>
  <c r="J3" i="10"/>
  <c r="N3" i="10" s="1"/>
  <c r="I3" i="10"/>
  <c r="M3" i="10" s="1"/>
  <c r="H3" i="10"/>
  <c r="L3" i="10" s="1"/>
  <c r="G3" i="10"/>
  <c r="K3" i="10" s="1"/>
  <c r="J2" i="10"/>
  <c r="N2" i="10" s="1"/>
  <c r="I2" i="10"/>
  <c r="M2" i="10" s="1"/>
  <c r="H2" i="10"/>
  <c r="L2" i="10" s="1"/>
  <c r="G2" i="10"/>
  <c r="K2" i="10" s="1"/>
  <c r="F10" i="4"/>
  <c r="F11" i="4" s="1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sharedStrings.xml><?xml version="1.0" encoding="utf-8"?>
<sst xmlns="http://schemas.openxmlformats.org/spreadsheetml/2006/main" count="153" uniqueCount="56">
  <si>
    <t>dosage</t>
  </si>
  <si>
    <t>pH</t>
  </si>
  <si>
    <t>logD Y</t>
  </si>
  <si>
    <t>logD Ce</t>
  </si>
  <si>
    <t>logD Nd</t>
  </si>
  <si>
    <t>logD Sm</t>
  </si>
  <si>
    <t>logD Gd</t>
  </si>
  <si>
    <t>logD Dy</t>
  </si>
  <si>
    <t>w_Y</t>
  </si>
  <si>
    <t>w_Ce</t>
  </si>
  <si>
    <t>w_Nd</t>
  </si>
  <si>
    <t>w_Sm</t>
  </si>
  <si>
    <t>w_Gd</t>
  </si>
  <si>
    <t>w_Dy</t>
  </si>
  <si>
    <t>logD La</t>
  </si>
  <si>
    <t>logD Pr</t>
  </si>
  <si>
    <t>w_La</t>
  </si>
  <si>
    <t>w_Pr</t>
  </si>
  <si>
    <t>Acid conc (M)</t>
  </si>
  <si>
    <t>Y</t>
  </si>
  <si>
    <t>La</t>
  </si>
  <si>
    <t>Ce</t>
  </si>
  <si>
    <t>Pr</t>
  </si>
  <si>
    <t>Nd</t>
  </si>
  <si>
    <t>Sm</t>
  </si>
  <si>
    <t>Eu</t>
  </si>
  <si>
    <t>Gd</t>
  </si>
  <si>
    <t>Tb</t>
  </si>
  <si>
    <t>Dy</t>
  </si>
  <si>
    <t>Ho</t>
  </si>
  <si>
    <t>Er</t>
  </si>
  <si>
    <t>a1</t>
  </si>
  <si>
    <t>a2</t>
  </si>
  <si>
    <t>b1</t>
  </si>
  <si>
    <t>b2</t>
  </si>
  <si>
    <t>logD Sc</t>
  </si>
  <si>
    <t>logD Fe</t>
  </si>
  <si>
    <t>logD Al</t>
  </si>
  <si>
    <t>logD Ca</t>
  </si>
  <si>
    <t>w_Sc</t>
  </si>
  <si>
    <t>w_Fe</t>
  </si>
  <si>
    <t>w_Al</t>
  </si>
  <si>
    <t>w_Ca</t>
  </si>
  <si>
    <t>E Sc</t>
  </si>
  <si>
    <t>E Fe</t>
  </si>
  <si>
    <t>E Al</t>
  </si>
  <si>
    <t>E Ca</t>
  </si>
  <si>
    <t>D Sc</t>
  </si>
  <si>
    <t>D Fe</t>
  </si>
  <si>
    <t>D Al</t>
  </si>
  <si>
    <t>D Ca</t>
  </si>
  <si>
    <t>ascorbic (g/L)</t>
  </si>
  <si>
    <t>E</t>
  </si>
  <si>
    <t>D</t>
  </si>
  <si>
    <t>logD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</si>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</sst>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2" fontId="0" fillId="0" borderId="0" xfId="0" applyNumberFormat="1"/>
    <xf numFmtId="0" fontId="4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workbookViewId="0">
      <selection activeCell="F30" sqref="F30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s="1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1</v>
      </c>
      <c r="J2">
        <v>1</v>
      </c>
      <c r="K2">
        <v>1</v>
      </c>
      <c r="L2">
        <v>0</v>
      </c>
      <c r="M2">
        <v>1</v>
      </c>
      <c r="N2">
        <v>1</v>
      </c>
    </row>
    <row r="3" spans="1:14" x14ac:dyDescent="0.3">
      <c r="A3" s="1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1</v>
      </c>
      <c r="J3">
        <v>0</v>
      </c>
      <c r="K3">
        <v>1</v>
      </c>
      <c r="L3">
        <v>1</v>
      </c>
      <c r="M3">
        <v>1</v>
      </c>
      <c r="N3">
        <v>1</v>
      </c>
    </row>
    <row r="4" spans="1:14" x14ac:dyDescent="0.3">
      <c r="A4" s="1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</row>
    <row r="5" spans="1:14" x14ac:dyDescent="0.3">
      <c r="A5" s="1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1</v>
      </c>
      <c r="J5">
        <v>1</v>
      </c>
      <c r="K5">
        <v>1</v>
      </c>
      <c r="L5">
        <v>0</v>
      </c>
      <c r="M5">
        <v>0</v>
      </c>
      <c r="N5">
        <v>1</v>
      </c>
    </row>
    <row r="6" spans="1:14" x14ac:dyDescent="0.3">
      <c r="A6" s="1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</row>
    <row r="7" spans="1:14" x14ac:dyDescent="0.3">
      <c r="A7" s="1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</row>
    <row r="8" spans="1:14" x14ac:dyDescent="0.3">
      <c r="A8" s="1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1</v>
      </c>
      <c r="J8">
        <v>1</v>
      </c>
      <c r="K8">
        <v>0</v>
      </c>
      <c r="L8">
        <v>1</v>
      </c>
      <c r="M8">
        <v>1</v>
      </c>
      <c r="N8">
        <v>1</v>
      </c>
    </row>
    <row r="9" spans="1:14" x14ac:dyDescent="0.3">
      <c r="A9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</row>
    <row r="10" spans="1:14" x14ac:dyDescent="0.3">
      <c r="A10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</row>
    <row r="11" spans="1:14" x14ac:dyDescent="0.3">
      <c r="A11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</row>
    <row r="12" spans="1:14" x14ac:dyDescent="0.3">
      <c r="A12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1</v>
      </c>
      <c r="J12">
        <v>0</v>
      </c>
      <c r="K12">
        <v>0</v>
      </c>
      <c r="L12">
        <v>1</v>
      </c>
      <c r="M12">
        <v>1</v>
      </c>
      <c r="N12">
        <v>0</v>
      </c>
    </row>
    <row r="13" spans="1:14" x14ac:dyDescent="0.3">
      <c r="A13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</row>
    <row r="14" spans="1:14" x14ac:dyDescent="0.3">
      <c r="A14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</row>
    <row r="15" spans="1:14" x14ac:dyDescent="0.3">
      <c r="A1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1</v>
      </c>
      <c r="J15">
        <v>0</v>
      </c>
      <c r="K15">
        <v>0</v>
      </c>
      <c r="L15">
        <v>1</v>
      </c>
      <c r="M15">
        <v>1</v>
      </c>
      <c r="N15">
        <v>1</v>
      </c>
    </row>
    <row r="16" spans="1:14" x14ac:dyDescent="0.3">
      <c r="A16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"/>
  <sheetViews>
    <sheetView workbookViewId="0">
      <selection activeCell="O5" sqref="O5"/>
    </sheetView>
  </sheetViews>
  <sheetFormatPr defaultRowHeight="14.4" x14ac:dyDescent="0.3"/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20" x14ac:dyDescent="0.3">
      <c r="A2" s="5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  <c r="T2">
        <f t="shared" ref="T2:T19" si="0">10^(-B2)</f>
        <v>0.57411646220732748</v>
      </c>
    </row>
    <row r="3" spans="1:20" x14ac:dyDescent="0.3">
      <c r="A3" s="5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  <c r="T3">
        <f t="shared" si="0"/>
        <v>0.29716660317380256</v>
      </c>
    </row>
    <row r="4" spans="1:20" x14ac:dyDescent="0.3">
      <c r="A4" s="5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T4">
        <f t="shared" si="0"/>
        <v>0.15995580286146685</v>
      </c>
    </row>
    <row r="5" spans="1:20" x14ac:dyDescent="0.3">
      <c r="A5" s="5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  <c r="T5">
        <f t="shared" si="0"/>
        <v>7.2945751025456848E-2</v>
      </c>
    </row>
    <row r="6" spans="1:20" x14ac:dyDescent="0.3">
      <c r="A6" s="5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T6">
        <f t="shared" si="0"/>
        <v>4.7752927365769082E-2</v>
      </c>
    </row>
    <row r="7" spans="1:20" x14ac:dyDescent="0.3">
      <c r="A7" s="5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  <c r="T7">
        <f t="shared" si="0"/>
        <v>3.4197944251370883E-2</v>
      </c>
    </row>
    <row r="8" spans="1:20" x14ac:dyDescent="0.3">
      <c r="A8" s="5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  <c r="T8">
        <f t="shared" si="0"/>
        <v>2.9922646366081884E-2</v>
      </c>
    </row>
    <row r="9" spans="1:20" x14ac:dyDescent="0.3">
      <c r="A9" s="5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  <c r="T9">
        <f t="shared" si="0"/>
        <v>0.5812775655381871</v>
      </c>
    </row>
    <row r="10" spans="1:20" x14ac:dyDescent="0.3">
      <c r="A10" s="5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  <c r="T10">
        <f t="shared" si="0"/>
        <v>0.29595990327355498</v>
      </c>
    </row>
    <row r="11" spans="1:20" x14ac:dyDescent="0.3">
      <c r="A11" s="5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  <c r="T11">
        <f t="shared" si="0"/>
        <v>0.15749264397861987</v>
      </c>
    </row>
    <row r="12" spans="1:20" x14ac:dyDescent="0.3">
      <c r="A12" s="5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T12">
        <f t="shared" si="0"/>
        <v>6.8057612907559836E-2</v>
      </c>
    </row>
    <row r="13" spans="1:20" x14ac:dyDescent="0.3">
      <c r="A13" s="5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  <c r="T13">
        <f t="shared" si="0"/>
        <v>3.833201450680674E-2</v>
      </c>
    </row>
    <row r="14" spans="1:20" x14ac:dyDescent="0.3">
      <c r="A14" s="5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  <c r="T14">
        <f t="shared" si="0"/>
        <v>2.4338923735390913E-2</v>
      </c>
    </row>
    <row r="15" spans="1:20" x14ac:dyDescent="0.3">
      <c r="A15" s="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T15">
        <f t="shared" si="0"/>
        <v>2.0142324533150509E-2</v>
      </c>
    </row>
    <row r="16" spans="1:20" x14ac:dyDescent="0.3">
      <c r="A16" s="5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  <c r="T16">
        <f t="shared" si="0"/>
        <v>8.4338796081341733E-3</v>
      </c>
    </row>
    <row r="17" spans="1:20" x14ac:dyDescent="0.3">
      <c r="A17">
        <v>25</v>
      </c>
      <c r="B17">
        <v>1.5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  <c r="T17">
        <f t="shared" si="0"/>
        <v>3.1622776601683784E-2</v>
      </c>
    </row>
    <row r="18" spans="1:20" x14ac:dyDescent="0.3">
      <c r="A18">
        <v>25</v>
      </c>
      <c r="B18">
        <v>2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  <c r="T18">
        <f t="shared" si="0"/>
        <v>0.01</v>
      </c>
    </row>
    <row r="19" spans="1:20" x14ac:dyDescent="0.3">
      <c r="A19">
        <v>25</v>
      </c>
      <c r="B19">
        <v>2.5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  <c r="T19">
        <f t="shared" si="0"/>
        <v>3.1622776601683764E-3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"/>
  <sheetViews>
    <sheetView workbookViewId="0">
      <selection activeCell="H24" sqref="H24"/>
    </sheetView>
  </sheetViews>
  <sheetFormatPr defaultRowHeight="14.4" x14ac:dyDescent="0.3"/>
  <cols>
    <col min="2" max="2" width="12.88671875" bestFit="1" customWidth="1"/>
  </cols>
  <sheetData>
    <row r="1" spans="1:18" x14ac:dyDescent="0.3">
      <c r="A1" t="s">
        <v>0</v>
      </c>
      <c r="B1" t="s">
        <v>18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18" x14ac:dyDescent="0.3">
      <c r="A2" s="5">
        <v>4.9878531370748496</v>
      </c>
      <c r="B2">
        <v>0.57411646220732748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3">
      <c r="A3" s="5">
        <v>4.9785421780668777</v>
      </c>
      <c r="B3">
        <v>0.29716660317380261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</row>
    <row r="4" spans="1:18" x14ac:dyDescent="0.3">
      <c r="A4" s="5">
        <v>4.9294758200052957</v>
      </c>
      <c r="B4">
        <v>0.15995580286146691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3">
      <c r="A5" s="5">
        <v>4.8132193011041764</v>
      </c>
      <c r="B5">
        <v>7.2945751025456848E-2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</row>
    <row r="6" spans="1:18" x14ac:dyDescent="0.3">
      <c r="A6" s="5">
        <v>4.751685080492198</v>
      </c>
      <c r="B6">
        <v>4.7752927365769082E-2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3">
      <c r="A7" s="5">
        <v>4.7231095025915941</v>
      </c>
      <c r="B7">
        <v>3.4197944251370883E-2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</row>
    <row r="8" spans="1:18" x14ac:dyDescent="0.3">
      <c r="A8" s="5">
        <v>4.7094378121328804</v>
      </c>
      <c r="B8">
        <v>2.9922646366081881E-2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</row>
    <row r="9" spans="1:18" x14ac:dyDescent="0.3">
      <c r="A9" s="5">
        <v>1.9915790348048139</v>
      </c>
      <c r="B9">
        <v>0.5812775655381871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</row>
    <row r="10" spans="1:18" x14ac:dyDescent="0.3">
      <c r="A10" s="5">
        <v>1.980691304582046</v>
      </c>
      <c r="B10">
        <v>0.29595990327355498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</row>
    <row r="11" spans="1:18" x14ac:dyDescent="0.3">
      <c r="A11" s="5">
        <v>1.9336677366397059</v>
      </c>
      <c r="B11">
        <v>0.1574926439786199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</row>
    <row r="12" spans="1:18" x14ac:dyDescent="0.3">
      <c r="A12" s="5">
        <v>1.827040781438199</v>
      </c>
      <c r="B12">
        <v>6.8057612907559836E-2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</row>
    <row r="13" spans="1:18" x14ac:dyDescent="0.3">
      <c r="A13" s="5">
        <v>1.7705451871527289</v>
      </c>
      <c r="B13">
        <v>3.833201450680674E-2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3">
      <c r="A14" s="5">
        <v>1.7440974190635239</v>
      </c>
      <c r="B14">
        <v>2.433892373539091E-2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</row>
    <row r="15" spans="1:18" x14ac:dyDescent="0.3">
      <c r="A15" s="5">
        <v>1.7322008018720709</v>
      </c>
      <c r="B15">
        <v>2.0142324533150509E-2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</row>
    <row r="16" spans="1:18" x14ac:dyDescent="0.3">
      <c r="A16" s="5">
        <v>1.7069872080419219</v>
      </c>
      <c r="B16">
        <v>8.4338796081341733E-3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</row>
    <row r="17" spans="1:18" x14ac:dyDescent="0.3">
      <c r="A17">
        <v>25</v>
      </c>
      <c r="B17">
        <v>3.1622776601683777E-2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</row>
    <row r="18" spans="1:18" x14ac:dyDescent="0.3">
      <c r="A18">
        <v>25</v>
      </c>
      <c r="B18">
        <v>0.01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</row>
    <row r="19" spans="1:18" x14ac:dyDescent="0.3">
      <c r="A19">
        <v>25</v>
      </c>
      <c r="B19">
        <v>3.1622776601683759E-3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1"/>
  <sheetViews>
    <sheetView workbookViewId="0">
      <selection activeCell="C8" sqref="C8"/>
    </sheetView>
  </sheetViews>
  <sheetFormatPr defaultRowHeight="14.4" x14ac:dyDescent="0.3"/>
  <sheetData>
    <row r="1" spans="1:22" x14ac:dyDescent="0.3">
      <c r="A1" t="s">
        <v>0</v>
      </c>
      <c r="B1" t="s">
        <v>1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16</v>
      </c>
      <c r="V1" t="s">
        <v>17</v>
      </c>
    </row>
    <row r="2" spans="1:22" x14ac:dyDescent="0.3">
      <c r="A2">
        <v>5</v>
      </c>
      <c r="B2">
        <v>0.24099999999999999</v>
      </c>
      <c r="C2">
        <v>2.2395622457170412</v>
      </c>
      <c r="D2">
        <v>1.1879817525171541</v>
      </c>
      <c r="E2">
        <v>4.1825819962989419</v>
      </c>
      <c r="F2">
        <v>1.5251941583177719</v>
      </c>
      <c r="G2">
        <v>2.0932100521339581</v>
      </c>
      <c r="H2">
        <v>1.3928628341453531</v>
      </c>
      <c r="I2">
        <v>1.3928628341453531</v>
      </c>
      <c r="J2">
        <v>1.7871795372261761</v>
      </c>
      <c r="K2">
        <v>1.9125527924175689</v>
      </c>
      <c r="L2">
        <v>1.4909941389328649</v>
      </c>
      <c r="M2">
        <v>6.1974715925357966</v>
      </c>
      <c r="N2">
        <v>24.87592064662892</v>
      </c>
      <c r="O2">
        <v>1</v>
      </c>
      <c r="P2">
        <v>1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</row>
    <row r="3" spans="1:22" x14ac:dyDescent="0.3">
      <c r="A3">
        <v>5</v>
      </c>
      <c r="B3">
        <v>0.52700000000000002</v>
      </c>
      <c r="C3">
        <v>6.6114061337195604</v>
      </c>
      <c r="D3">
        <v>2.866609580241787</v>
      </c>
      <c r="E3">
        <v>3.205177802787111</v>
      </c>
      <c r="F3">
        <v>5.9350943102767584</v>
      </c>
      <c r="G3">
        <v>2.803186715169653</v>
      </c>
      <c r="H3">
        <v>2.3426369721582359</v>
      </c>
      <c r="I3">
        <v>2.0932100521339581</v>
      </c>
      <c r="J3">
        <v>2.5059821239382138</v>
      </c>
      <c r="K3">
        <v>0.78806838503302834</v>
      </c>
      <c r="L3">
        <v>3.2773891454587498</v>
      </c>
      <c r="M3">
        <v>3.8286503882254732</v>
      </c>
      <c r="N3">
        <v>6.9014880368182627</v>
      </c>
      <c r="O3">
        <v>1</v>
      </c>
      <c r="P3">
        <v>0</v>
      </c>
      <c r="Q3">
        <v>1</v>
      </c>
      <c r="R3">
        <v>1</v>
      </c>
      <c r="S3">
        <v>1</v>
      </c>
      <c r="T3">
        <v>1</v>
      </c>
      <c r="U3">
        <v>0</v>
      </c>
      <c r="V3">
        <v>0</v>
      </c>
    </row>
    <row r="4" spans="1:22" x14ac:dyDescent="0.3">
      <c r="A4">
        <v>5</v>
      </c>
      <c r="B4">
        <v>0.79600000000000004</v>
      </c>
      <c r="C4">
        <v>25.746444105693019</v>
      </c>
      <c r="D4">
        <v>2.866609580241787</v>
      </c>
      <c r="E4">
        <v>2.9976589159516012</v>
      </c>
      <c r="F4">
        <v>3.351171054837125</v>
      </c>
      <c r="G4">
        <v>3.351171054837125</v>
      </c>
      <c r="H4">
        <v>2.7411274627306499</v>
      </c>
      <c r="I4">
        <v>2.803186715169653</v>
      </c>
      <c r="J4">
        <v>3.6626441176046929</v>
      </c>
      <c r="K4">
        <v>3.9143402751692982</v>
      </c>
      <c r="L4">
        <v>9.4787395973196098</v>
      </c>
      <c r="M4">
        <v>15.097955721132321</v>
      </c>
      <c r="N4">
        <v>29.90226013898921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3">
      <c r="A5">
        <v>5</v>
      </c>
      <c r="B5">
        <v>1.137</v>
      </c>
      <c r="C5">
        <v>69.123615241476301</v>
      </c>
      <c r="D5">
        <v>2.866609580241787</v>
      </c>
      <c r="E5">
        <v>4.3710847735683966</v>
      </c>
      <c r="F5">
        <v>6.7550028996576179</v>
      </c>
      <c r="G5">
        <v>3.5035734831986272</v>
      </c>
      <c r="H5">
        <v>2.7411274627306499</v>
      </c>
      <c r="I5">
        <v>5.5609816758203392</v>
      </c>
      <c r="J5">
        <v>6.4706500953921759</v>
      </c>
      <c r="K5">
        <v>17.282198303686041</v>
      </c>
      <c r="L5">
        <v>36.525666494768323</v>
      </c>
      <c r="M5">
        <v>52.300958729756232</v>
      </c>
      <c r="N5">
        <v>73.810903254041875</v>
      </c>
      <c r="O5">
        <v>1</v>
      </c>
      <c r="P5">
        <v>1</v>
      </c>
      <c r="Q5">
        <v>1</v>
      </c>
      <c r="R5">
        <v>0</v>
      </c>
      <c r="S5">
        <v>0</v>
      </c>
      <c r="T5">
        <v>1</v>
      </c>
      <c r="U5">
        <v>0</v>
      </c>
      <c r="V5">
        <v>1</v>
      </c>
    </row>
    <row r="6" spans="1:22" x14ac:dyDescent="0.3">
      <c r="A6">
        <v>5</v>
      </c>
      <c r="B6">
        <v>1.321</v>
      </c>
      <c r="C6">
        <v>88.113778355369817</v>
      </c>
      <c r="D6">
        <v>5.6831520840097216</v>
      </c>
      <c r="E6">
        <v>4.7726721034203887</v>
      </c>
      <c r="F6">
        <v>4.1825819962989419</v>
      </c>
      <c r="G6">
        <v>4.5676781039662373</v>
      </c>
      <c r="H6">
        <v>7.2033158503842589</v>
      </c>
      <c r="I6">
        <v>11.181576977811689</v>
      </c>
      <c r="J6">
        <v>13.680688860321</v>
      </c>
      <c r="K6">
        <v>37.599824138233288</v>
      </c>
      <c r="L6">
        <v>64.535245043938247</v>
      </c>
      <c r="M6">
        <v>79.174883750818452</v>
      </c>
      <c r="N6">
        <v>89.045063872292474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3">
      <c r="A7">
        <v>5</v>
      </c>
      <c r="B7">
        <v>1.466</v>
      </c>
      <c r="C7">
        <v>94.064905689723247</v>
      </c>
      <c r="D7">
        <v>5.6831520840097216</v>
      </c>
      <c r="E7">
        <v>6.3326875310947912</v>
      </c>
      <c r="F7">
        <v>10.08826283567233</v>
      </c>
      <c r="G7">
        <v>6.0649558509397794</v>
      </c>
      <c r="H7">
        <v>12.377068106893541</v>
      </c>
      <c r="I7">
        <v>19.709082984618409</v>
      </c>
      <c r="J7">
        <v>23.194799683241602</v>
      </c>
      <c r="K7">
        <v>55.731163376229283</v>
      </c>
      <c r="L7">
        <v>80.290917015381595</v>
      </c>
      <c r="M7">
        <v>88.58769425858496</v>
      </c>
      <c r="N7">
        <v>94.064905689723247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0</v>
      </c>
      <c r="V7">
        <v>1</v>
      </c>
    </row>
    <row r="8" spans="1:22" x14ac:dyDescent="0.3">
      <c r="A8">
        <v>5</v>
      </c>
      <c r="B8">
        <v>1.524</v>
      </c>
      <c r="C8">
        <v>95.724158885346398</v>
      </c>
      <c r="D8">
        <v>11.41230574141505</v>
      </c>
      <c r="E8">
        <v>8.7174188254586831</v>
      </c>
      <c r="F8">
        <v>11.647171194356069</v>
      </c>
      <c r="G8">
        <v>9.0909090909090917</v>
      </c>
      <c r="H8">
        <v>16.00493053652465</v>
      </c>
      <c r="I8">
        <v>26.636629758619261</v>
      </c>
      <c r="J8">
        <v>31.369974231668749</v>
      </c>
      <c r="K8">
        <v>64.006499980288496</v>
      </c>
      <c r="L8">
        <v>85.482917753175954</v>
      </c>
      <c r="M8">
        <v>92.321068030289979</v>
      </c>
      <c r="N8">
        <v>95.531649062820279</v>
      </c>
      <c r="O8">
        <v>1</v>
      </c>
      <c r="P8">
        <v>1</v>
      </c>
      <c r="Q8">
        <v>0</v>
      </c>
      <c r="R8">
        <v>1</v>
      </c>
      <c r="S8">
        <v>1</v>
      </c>
      <c r="T8">
        <v>1</v>
      </c>
      <c r="U8">
        <v>0</v>
      </c>
      <c r="V8">
        <v>1</v>
      </c>
    </row>
    <row r="10" spans="1:22" x14ac:dyDescent="0.3">
      <c r="F10">
        <f>F8/(100-F8)</f>
        <v>0.13182567385564065</v>
      </c>
    </row>
    <row r="11" spans="1:22" x14ac:dyDescent="0.3">
      <c r="F11">
        <f>LOG10(F10)</f>
        <v>-0.88000000000000023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"/>
  <sheetViews>
    <sheetView workbookViewId="0">
      <selection activeCell="I12" sqref="I12"/>
    </sheetView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19</v>
      </c>
      <c r="D1" t="s">
        <v>21</v>
      </c>
      <c r="E1" t="s">
        <v>23</v>
      </c>
      <c r="F1" t="s">
        <v>24</v>
      </c>
      <c r="G1" t="s">
        <v>26</v>
      </c>
      <c r="H1" t="s">
        <v>28</v>
      </c>
    </row>
    <row r="2" spans="1:8" x14ac:dyDescent="0.3">
      <c r="A2">
        <v>2</v>
      </c>
      <c r="B2">
        <v>0.235616438356164</v>
      </c>
      <c r="C2">
        <v>2.373626373626359</v>
      </c>
      <c r="D2">
        <v>1.3846153846153491</v>
      </c>
      <c r="E2">
        <v>1.780219780219759</v>
      </c>
      <c r="F2">
        <v>1.3846153846153491</v>
      </c>
      <c r="G2">
        <v>2.1758241758241401</v>
      </c>
      <c r="H2">
        <v>1.780219780219759</v>
      </c>
    </row>
    <row r="3" spans="1:8" x14ac:dyDescent="0.3">
      <c r="A3">
        <v>2</v>
      </c>
      <c r="B3">
        <v>0.52876712328767095</v>
      </c>
      <c r="C3">
        <v>6.329670329670317</v>
      </c>
      <c r="D3">
        <v>3.3626373626373378</v>
      </c>
      <c r="E3">
        <v>2.967032967032929</v>
      </c>
      <c r="F3">
        <v>2.571428571428549</v>
      </c>
      <c r="G3">
        <v>2.571428571428549</v>
      </c>
      <c r="H3">
        <v>2.967032967032929</v>
      </c>
    </row>
    <row r="4" spans="1:8" x14ac:dyDescent="0.3">
      <c r="A4">
        <v>2</v>
      </c>
      <c r="B4">
        <v>0.80273972602739696</v>
      </c>
      <c r="C4">
        <v>25.912087912087799</v>
      </c>
      <c r="D4">
        <v>3.16483516483515</v>
      </c>
      <c r="E4">
        <v>3.3626373626373378</v>
      </c>
      <c r="F4">
        <v>2.769230769230739</v>
      </c>
      <c r="G4">
        <v>3.56043956043953</v>
      </c>
      <c r="H4">
        <v>9.8901098901098674</v>
      </c>
    </row>
    <row r="5" spans="1:8" x14ac:dyDescent="0.3">
      <c r="A5">
        <v>2</v>
      </c>
      <c r="B5">
        <v>1.1671232876712301</v>
      </c>
      <c r="C5">
        <v>68.637362637362614</v>
      </c>
      <c r="D5">
        <v>4.1538461538461409</v>
      </c>
      <c r="E5">
        <v>3.56043956043953</v>
      </c>
      <c r="F5">
        <v>2.571428571428549</v>
      </c>
      <c r="G5">
        <v>6.7252747252746978</v>
      </c>
      <c r="H5">
        <v>36.197802197802098</v>
      </c>
    </row>
    <row r="6" spans="1:8" x14ac:dyDescent="0.3">
      <c r="A6">
        <v>2</v>
      </c>
      <c r="B6">
        <v>1.4164383561643801</v>
      </c>
      <c r="C6">
        <v>87.428571428571402</v>
      </c>
      <c r="D6">
        <v>4.7472527472527402</v>
      </c>
      <c r="E6">
        <v>4.5494505494505493</v>
      </c>
      <c r="F6">
        <v>7.5164835164834978</v>
      </c>
      <c r="G6">
        <v>13.84615384615379</v>
      </c>
      <c r="H6">
        <v>64.285714285714207</v>
      </c>
    </row>
    <row r="7" spans="1:8" x14ac:dyDescent="0.3">
      <c r="A7">
        <v>2</v>
      </c>
      <c r="B7">
        <v>1.61369863013698</v>
      </c>
      <c r="C7">
        <v>93.956043956043899</v>
      </c>
      <c r="D7">
        <v>6.5274725274725096</v>
      </c>
      <c r="E7">
        <v>6.1318681318681314</v>
      </c>
      <c r="F7">
        <v>12.659340659340589</v>
      </c>
      <c r="G7">
        <v>23.34065934065929</v>
      </c>
      <c r="H7">
        <v>79.714285714285694</v>
      </c>
    </row>
    <row r="8" spans="1:8" x14ac:dyDescent="0.3">
      <c r="A8">
        <v>2</v>
      </c>
      <c r="B8">
        <v>1.6958904109588999</v>
      </c>
      <c r="C8">
        <v>95.538461538461505</v>
      </c>
      <c r="D8">
        <v>9.0989010989010772</v>
      </c>
      <c r="E8">
        <v>9.0989010989010772</v>
      </c>
      <c r="F8">
        <v>16.219780219780201</v>
      </c>
      <c r="G8">
        <v>31.450549450549399</v>
      </c>
      <c r="H8">
        <v>85.252747252747199</v>
      </c>
    </row>
    <row r="9" spans="1:8" x14ac:dyDescent="0.3">
      <c r="A9">
        <v>2</v>
      </c>
      <c r="B9">
        <v>2.0739726027397198</v>
      </c>
      <c r="C9">
        <v>98.505494505494497</v>
      </c>
      <c r="D9">
        <v>10.087912087912001</v>
      </c>
      <c r="E9">
        <v>10.681318681318601</v>
      </c>
      <c r="F9">
        <v>30.857142857142801</v>
      </c>
      <c r="G9">
        <v>55.978021978021907</v>
      </c>
      <c r="H9">
        <v>94.153846153846104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/>
  </sheetViews>
  <sheetFormatPr defaultRowHeight="14.4" x14ac:dyDescent="0.3"/>
  <sheetData>
    <row r="1" spans="1:5" x14ac:dyDescent="0.3">
      <c r="B1" s="2" t="s">
        <v>31</v>
      </c>
      <c r="C1" s="2" t="s">
        <v>32</v>
      </c>
      <c r="D1" s="2" t="s">
        <v>33</v>
      </c>
      <c r="E1" s="2" t="s">
        <v>34</v>
      </c>
    </row>
    <row r="2" spans="1:5" x14ac:dyDescent="0.3">
      <c r="A2" s="2" t="s">
        <v>19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3">
      <c r="A3" s="2" t="s">
        <v>21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3">
      <c r="A4" s="2" t="s">
        <v>23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3">
      <c r="A5" s="2" t="s">
        <v>24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3">
      <c r="A6" s="2" t="s">
        <v>26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3">
      <c r="A7" s="2" t="s">
        <v>28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selection activeCell="B2" sqref="B2:E7"/>
    </sheetView>
  </sheetViews>
  <sheetFormatPr defaultRowHeight="14.4" x14ac:dyDescent="0.3"/>
  <sheetData>
    <row r="1" spans="1:5" x14ac:dyDescent="0.3">
      <c r="B1" s="3" t="s">
        <v>31</v>
      </c>
      <c r="C1" s="3" t="s">
        <v>32</v>
      </c>
      <c r="D1" s="3" t="s">
        <v>33</v>
      </c>
      <c r="E1" s="3" t="s">
        <v>34</v>
      </c>
    </row>
    <row r="2" spans="1:5" x14ac:dyDescent="0.3">
      <c r="A2" s="3" t="s">
        <v>19</v>
      </c>
      <c r="B2">
        <v>1.897192941483695</v>
      </c>
      <c r="C2">
        <v>7.4553651855725475E-2</v>
      </c>
      <c r="D2">
        <v>-2.1749231856689391</v>
      </c>
      <c r="E2">
        <v>6.5261468608422347E-7</v>
      </c>
    </row>
    <row r="3" spans="1:5" x14ac:dyDescent="0.3">
      <c r="A3" s="3" t="s">
        <v>21</v>
      </c>
      <c r="B3">
        <v>0.44785944449720161</v>
      </c>
      <c r="C3">
        <v>1.437950114489386E-2</v>
      </c>
      <c r="D3">
        <v>-1.917951287095474</v>
      </c>
      <c r="E3">
        <v>9.2205221974716144E-7</v>
      </c>
    </row>
    <row r="4" spans="1:5" x14ac:dyDescent="0.3">
      <c r="A4" s="3" t="s">
        <v>23</v>
      </c>
      <c r="B4">
        <v>0.40606294115621022</v>
      </c>
      <c r="C4">
        <v>3.4349094881238079E-7</v>
      </c>
      <c r="D4">
        <v>-1.820107329944149</v>
      </c>
      <c r="E4">
        <v>1.7491210543681691E-6</v>
      </c>
    </row>
    <row r="5" spans="1:5" x14ac:dyDescent="0.3">
      <c r="A5" s="3" t="s">
        <v>24</v>
      </c>
      <c r="B5">
        <v>0.75082756926099659</v>
      </c>
      <c r="C5">
        <v>2.3699858241809198E-2</v>
      </c>
      <c r="D5">
        <v>-2.1465969485804659</v>
      </c>
      <c r="E5">
        <v>8.4797556282485416E-6</v>
      </c>
    </row>
    <row r="6" spans="1:5" x14ac:dyDescent="0.3">
      <c r="A6" s="3" t="s">
        <v>26</v>
      </c>
      <c r="B6">
        <v>1.114322111707081</v>
      </c>
      <c r="C6">
        <v>4.9258253334462558E-3</v>
      </c>
      <c r="D6">
        <v>-2.3870195171610531</v>
      </c>
      <c r="E6">
        <v>0.26486090809009472</v>
      </c>
    </row>
    <row r="7" spans="1:5" x14ac:dyDescent="0.3">
      <c r="A7" s="3" t="s">
        <v>28</v>
      </c>
      <c r="B7">
        <v>1.6656777779483489</v>
      </c>
      <c r="C7">
        <v>5.8864314873466522E-2</v>
      </c>
      <c r="D7">
        <v>-2.3466295945922599</v>
      </c>
      <c r="E7">
        <v>1.0581596802886029E-6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workbookViewId="0"/>
  </sheetViews>
  <sheetFormatPr defaultRowHeight="14.4" x14ac:dyDescent="0.3"/>
  <sheetData>
    <row r="1" spans="1:5" x14ac:dyDescent="0.3">
      <c r="B1" s="4" t="s">
        <v>31</v>
      </c>
      <c r="C1" s="4" t="s">
        <v>32</v>
      </c>
      <c r="D1" s="4" t="s">
        <v>33</v>
      </c>
      <c r="E1" s="4" t="s">
        <v>34</v>
      </c>
    </row>
    <row r="2" spans="1:5" x14ac:dyDescent="0.3">
      <c r="A2" s="4" t="s">
        <v>19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3">
      <c r="A3" s="4" t="s">
        <v>21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3">
      <c r="A4" s="4" t="s">
        <v>23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3">
      <c r="A5" s="4" t="s">
        <v>24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3">
      <c r="A6" s="4" t="s">
        <v>26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3">
      <c r="A7" s="4" t="s">
        <v>28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1"/>
  <sheetViews>
    <sheetView workbookViewId="0">
      <selection activeCell="A2" sqref="A2:B11"/>
    </sheetView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</row>
    <row r="2" spans="1:10" x14ac:dyDescent="0.3">
      <c r="A2">
        <v>1</v>
      </c>
      <c r="B2">
        <v>0.5</v>
      </c>
      <c r="C2">
        <v>0.37890162349538931</v>
      </c>
      <c r="D2">
        <v>-0.55880438484237782</v>
      </c>
      <c r="E2">
        <v>-0.22018318867981981</v>
      </c>
      <c r="F2">
        <v>0.28887120618536088</v>
      </c>
      <c r="G2">
        <v>1</v>
      </c>
      <c r="H2">
        <v>1</v>
      </c>
      <c r="I2">
        <v>1</v>
      </c>
      <c r="J2">
        <v>1</v>
      </c>
    </row>
    <row r="3" spans="1:10" x14ac:dyDescent="0.3">
      <c r="A3">
        <v>2</v>
      </c>
      <c r="B3">
        <v>0.5</v>
      </c>
      <c r="C3">
        <v>0.74730347581587131</v>
      </c>
      <c r="D3">
        <v>-0.25642653036117807</v>
      </c>
      <c r="E3">
        <v>-9.619521531998218E-2</v>
      </c>
      <c r="F3">
        <v>0.41814043679433921</v>
      </c>
      <c r="G3">
        <v>1</v>
      </c>
      <c r="H3">
        <v>1</v>
      </c>
      <c r="I3">
        <v>1</v>
      </c>
      <c r="J3">
        <v>1</v>
      </c>
    </row>
    <row r="4" spans="1:10" x14ac:dyDescent="0.3">
      <c r="A4">
        <v>3</v>
      </c>
      <c r="B4">
        <v>0.5</v>
      </c>
      <c r="C4">
        <v>0.81772606167682238</v>
      </c>
      <c r="D4">
        <v>-0.12006930682745021</v>
      </c>
      <c r="E4">
        <v>-1.048649293295891E-2</v>
      </c>
      <c r="F4">
        <v>0.47260455139702251</v>
      </c>
      <c r="G4">
        <v>1</v>
      </c>
      <c r="H4">
        <v>1</v>
      </c>
      <c r="I4">
        <v>1</v>
      </c>
      <c r="J4">
        <v>1</v>
      </c>
    </row>
    <row r="5" spans="1:10" x14ac:dyDescent="0.3">
      <c r="A5">
        <v>4</v>
      </c>
      <c r="B5">
        <v>0.5</v>
      </c>
      <c r="C5">
        <v>0.94732133535924345</v>
      </c>
      <c r="D5">
        <v>7.2103517063392866E-2</v>
      </c>
      <c r="E5">
        <v>0.15970084286751191</v>
      </c>
      <c r="F5">
        <v>0.52895058389195404</v>
      </c>
      <c r="G5">
        <v>1</v>
      </c>
      <c r="H5">
        <v>1</v>
      </c>
      <c r="I5">
        <v>1</v>
      </c>
      <c r="J5">
        <v>1</v>
      </c>
    </row>
    <row r="6" spans="1:10" x14ac:dyDescent="0.3">
      <c r="A6">
        <v>5</v>
      </c>
      <c r="B6">
        <v>0.5</v>
      </c>
      <c r="C6">
        <v>1.00311120790082</v>
      </c>
      <c r="D6">
        <v>0.27645618591098309</v>
      </c>
      <c r="E6">
        <v>0.2413180682920206</v>
      </c>
      <c r="F6">
        <v>0.63375355796501509</v>
      </c>
      <c r="G6">
        <v>1</v>
      </c>
      <c r="H6">
        <v>1</v>
      </c>
      <c r="I6">
        <v>1</v>
      </c>
      <c r="J6">
        <v>1</v>
      </c>
    </row>
    <row r="7" spans="1:10" x14ac:dyDescent="0.3">
      <c r="A7">
        <v>2</v>
      </c>
      <c r="B7">
        <v>0.19</v>
      </c>
      <c r="C7">
        <v>0.2019624381862466</v>
      </c>
      <c r="D7">
        <v>0.73398894149761618</v>
      </c>
      <c r="E7">
        <v>2.2411320697578532E-2</v>
      </c>
      <c r="F7">
        <v>0.37467651080669062</v>
      </c>
      <c r="G7">
        <v>1</v>
      </c>
      <c r="H7">
        <v>1</v>
      </c>
      <c r="I7">
        <v>1</v>
      </c>
      <c r="J7">
        <v>1</v>
      </c>
    </row>
    <row r="8" spans="1:10" x14ac:dyDescent="0.3">
      <c r="A8">
        <v>2</v>
      </c>
      <c r="B8">
        <v>0.5</v>
      </c>
      <c r="C8">
        <v>0.76789849152443013</v>
      </c>
      <c r="D8">
        <v>-0.26172914980845402</v>
      </c>
      <c r="E8">
        <v>-9.0732996238242117E-2</v>
      </c>
      <c r="F8">
        <v>0.41866397556212759</v>
      </c>
      <c r="G8">
        <v>1</v>
      </c>
      <c r="H8">
        <v>1</v>
      </c>
      <c r="I8">
        <v>1</v>
      </c>
      <c r="J8">
        <v>1</v>
      </c>
    </row>
    <row r="9" spans="1:10" x14ac:dyDescent="0.3">
      <c r="A9">
        <v>2</v>
      </c>
      <c r="B9">
        <v>0.99</v>
      </c>
      <c r="C9">
        <v>1.224347751283891</v>
      </c>
      <c r="D9">
        <v>-0.60959581881686786</v>
      </c>
      <c r="E9">
        <v>-0.23437228355177231</v>
      </c>
      <c r="F9">
        <v>0.46721891154789469</v>
      </c>
      <c r="G9">
        <v>1</v>
      </c>
      <c r="H9">
        <v>1</v>
      </c>
      <c r="I9">
        <v>1</v>
      </c>
      <c r="J9">
        <v>1</v>
      </c>
    </row>
    <row r="10" spans="1:10" x14ac:dyDescent="0.3">
      <c r="A10">
        <v>2</v>
      </c>
      <c r="B10">
        <v>1.49</v>
      </c>
      <c r="C10">
        <v>1.78025349022115</v>
      </c>
      <c r="D10">
        <v>-0.65230372820996729</v>
      </c>
      <c r="E10">
        <v>-0.52714761933160048</v>
      </c>
      <c r="F10">
        <v>0.60236401267877693</v>
      </c>
      <c r="G10">
        <v>1</v>
      </c>
      <c r="H10">
        <v>1</v>
      </c>
      <c r="I10">
        <v>1</v>
      </c>
      <c r="J10">
        <v>1</v>
      </c>
    </row>
    <row r="11" spans="1:10" x14ac:dyDescent="0.3">
      <c r="A11">
        <v>2</v>
      </c>
      <c r="B11">
        <v>1.79</v>
      </c>
      <c r="C11">
        <v>1.9074053552227761</v>
      </c>
      <c r="D11">
        <v>-1.574557366498176</v>
      </c>
      <c r="E11">
        <v>-0.56219097385209027</v>
      </c>
      <c r="F11">
        <v>0.8488269794820742</v>
      </c>
      <c r="G11">
        <v>1</v>
      </c>
      <c r="H11">
        <v>1</v>
      </c>
      <c r="I11">
        <v>1</v>
      </c>
      <c r="J11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1"/>
  <sheetViews>
    <sheetView workbookViewId="0">
      <selection activeCell="R6" sqref="R6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35</v>
      </c>
      <c r="L1" t="s">
        <v>36</v>
      </c>
      <c r="M1" t="s">
        <v>37</v>
      </c>
      <c r="N1" t="s">
        <v>38</v>
      </c>
    </row>
    <row r="2" spans="1:14" x14ac:dyDescent="0.3">
      <c r="A2">
        <v>1</v>
      </c>
      <c r="B2">
        <v>0.5</v>
      </c>
      <c r="C2">
        <v>44.37</v>
      </c>
      <c r="D2">
        <v>8.43</v>
      </c>
      <c r="E2">
        <v>16.72</v>
      </c>
      <c r="F2">
        <v>39.33</v>
      </c>
      <c r="G2">
        <f t="shared" ref="G2:G11" si="0">3*C2/(100-C2)</f>
        <v>2.3927736832644251</v>
      </c>
      <c r="H2">
        <f t="shared" ref="H2:H11" si="1">3*D2/(100-D2)</f>
        <v>0.27618215572785848</v>
      </c>
      <c r="I2">
        <f t="shared" ref="I2:I11" si="2">3*E2/(100-E2)</f>
        <v>0.60230547550432267</v>
      </c>
      <c r="J2">
        <f t="shared" ref="J2:J11" si="3">3*F2/(100-F2)</f>
        <v>1.9447832536673808</v>
      </c>
      <c r="K2">
        <f t="shared" ref="K2:K11" si="4">LOG10(G2)</f>
        <v>0.37890162349538925</v>
      </c>
      <c r="L2">
        <f t="shared" ref="L2:L11" si="5">LOG10(H2)</f>
        <v>-0.55880438484237782</v>
      </c>
      <c r="M2">
        <f t="shared" ref="M2:M11" si="6">LOG10(I2)</f>
        <v>-0.22018318867981979</v>
      </c>
      <c r="N2">
        <f t="shared" ref="N2:N11" si="7">LOG10(J2)</f>
        <v>0.28887120618536088</v>
      </c>
    </row>
    <row r="3" spans="1:14" x14ac:dyDescent="0.3">
      <c r="A3">
        <v>2</v>
      </c>
      <c r="B3">
        <v>0.5</v>
      </c>
      <c r="C3">
        <v>65.069999999999993</v>
      </c>
      <c r="D3">
        <v>15.59</v>
      </c>
      <c r="E3">
        <v>21.08</v>
      </c>
      <c r="F3">
        <v>46.61</v>
      </c>
      <c r="G3">
        <f t="shared" si="0"/>
        <v>5.5886057829945592</v>
      </c>
      <c r="H3">
        <f t="shared" si="1"/>
        <v>0.55408126999170715</v>
      </c>
      <c r="I3">
        <f t="shared" si="2"/>
        <v>0.8013177901672579</v>
      </c>
      <c r="J3">
        <f t="shared" si="3"/>
        <v>2.6190297808578382</v>
      </c>
      <c r="K3">
        <f t="shared" si="4"/>
        <v>0.74730347581587131</v>
      </c>
      <c r="L3">
        <f t="shared" si="5"/>
        <v>-0.25642653036117807</v>
      </c>
      <c r="M3">
        <f t="shared" si="6"/>
        <v>-9.619521531998218E-2</v>
      </c>
      <c r="N3">
        <f t="shared" si="7"/>
        <v>0.41814043679433915</v>
      </c>
    </row>
    <row r="4" spans="1:14" x14ac:dyDescent="0.3">
      <c r="A4">
        <v>3</v>
      </c>
      <c r="B4">
        <v>0.5</v>
      </c>
      <c r="C4">
        <v>68.66</v>
      </c>
      <c r="D4">
        <v>20.18</v>
      </c>
      <c r="E4">
        <v>24.55</v>
      </c>
      <c r="F4">
        <v>49.74</v>
      </c>
      <c r="G4">
        <f t="shared" si="0"/>
        <v>6.5724313975749826</v>
      </c>
      <c r="H4">
        <f t="shared" si="1"/>
        <v>0.75845652718616896</v>
      </c>
      <c r="I4">
        <f t="shared" si="2"/>
        <v>0.97614314115308154</v>
      </c>
      <c r="J4">
        <f t="shared" si="3"/>
        <v>2.9689614007162755</v>
      </c>
      <c r="K4">
        <f t="shared" si="4"/>
        <v>0.81772606167682238</v>
      </c>
      <c r="L4">
        <f t="shared" si="5"/>
        <v>-0.12006930682745025</v>
      </c>
      <c r="M4">
        <f t="shared" si="6"/>
        <v>-1.0486492932958912E-2</v>
      </c>
      <c r="N4">
        <f t="shared" si="7"/>
        <v>0.47260455139702245</v>
      </c>
    </row>
    <row r="5" spans="1:14" x14ac:dyDescent="0.3">
      <c r="A5">
        <v>4</v>
      </c>
      <c r="B5">
        <v>0.5</v>
      </c>
      <c r="C5">
        <v>74.7</v>
      </c>
      <c r="D5">
        <v>28.24</v>
      </c>
      <c r="E5">
        <v>32.5</v>
      </c>
      <c r="F5">
        <v>52.98</v>
      </c>
      <c r="G5">
        <f t="shared" si="0"/>
        <v>8.8577075098814255</v>
      </c>
      <c r="H5">
        <f t="shared" si="1"/>
        <v>1.1806020066889631</v>
      </c>
      <c r="I5">
        <f t="shared" si="2"/>
        <v>1.4444444444444444</v>
      </c>
      <c r="J5">
        <f t="shared" si="3"/>
        <v>3.3802637175669923</v>
      </c>
      <c r="K5">
        <f t="shared" si="4"/>
        <v>0.94732133535924345</v>
      </c>
      <c r="L5">
        <f t="shared" si="5"/>
        <v>7.2103517063392866E-2</v>
      </c>
      <c r="M5">
        <f t="shared" si="6"/>
        <v>0.15970084286751188</v>
      </c>
      <c r="N5">
        <f t="shared" si="7"/>
        <v>0.52895058389195404</v>
      </c>
    </row>
    <row r="6" spans="1:14" x14ac:dyDescent="0.3">
      <c r="A6">
        <v>5</v>
      </c>
      <c r="B6">
        <v>0.5</v>
      </c>
      <c r="C6">
        <v>77.05</v>
      </c>
      <c r="D6">
        <v>38.65</v>
      </c>
      <c r="E6">
        <v>36.75</v>
      </c>
      <c r="F6">
        <v>58.92</v>
      </c>
      <c r="G6">
        <f t="shared" si="0"/>
        <v>10.071895424836599</v>
      </c>
      <c r="H6">
        <f t="shared" si="1"/>
        <v>1.8899755501222493</v>
      </c>
      <c r="I6">
        <f t="shared" si="2"/>
        <v>1.7430830039525691</v>
      </c>
      <c r="J6">
        <f t="shared" si="3"/>
        <v>4.3028237585199607</v>
      </c>
      <c r="K6">
        <f t="shared" si="4"/>
        <v>1.0031112079008204</v>
      </c>
      <c r="L6">
        <f t="shared" si="5"/>
        <v>0.27645618591098309</v>
      </c>
      <c r="M6">
        <f t="shared" si="6"/>
        <v>0.2413180682920206</v>
      </c>
      <c r="N6">
        <f t="shared" si="7"/>
        <v>0.63375355796501509</v>
      </c>
    </row>
    <row r="7" spans="1:14" x14ac:dyDescent="0.3">
      <c r="A7">
        <v>2</v>
      </c>
      <c r="B7">
        <v>0.19</v>
      </c>
      <c r="C7">
        <v>34.67</v>
      </c>
      <c r="D7">
        <v>64.37</v>
      </c>
      <c r="E7">
        <v>25.98</v>
      </c>
      <c r="F7">
        <v>44.13</v>
      </c>
      <c r="G7">
        <f t="shared" si="0"/>
        <v>1.5920710240318385</v>
      </c>
      <c r="H7">
        <f t="shared" si="1"/>
        <v>5.4198708953129398</v>
      </c>
      <c r="I7">
        <f t="shared" si="2"/>
        <v>1.0529586598216698</v>
      </c>
      <c r="J7">
        <f t="shared" si="3"/>
        <v>2.3696080186146413</v>
      </c>
      <c r="K7">
        <f t="shared" si="4"/>
        <v>0.20196243818624662</v>
      </c>
      <c r="L7">
        <f t="shared" si="5"/>
        <v>0.73398894149761618</v>
      </c>
      <c r="M7">
        <f t="shared" si="6"/>
        <v>2.2411320697578532E-2</v>
      </c>
      <c r="N7">
        <f t="shared" si="7"/>
        <v>0.37467651080669057</v>
      </c>
    </row>
    <row r="8" spans="1:14" x14ac:dyDescent="0.3">
      <c r="A8">
        <v>2</v>
      </c>
      <c r="B8">
        <v>0.5</v>
      </c>
      <c r="C8">
        <v>66.14</v>
      </c>
      <c r="D8">
        <v>15.43</v>
      </c>
      <c r="E8">
        <v>21.29</v>
      </c>
      <c r="F8">
        <v>46.64</v>
      </c>
      <c r="G8">
        <f t="shared" si="0"/>
        <v>5.8600118133490851</v>
      </c>
      <c r="H8">
        <f t="shared" si="1"/>
        <v>0.54735721887194044</v>
      </c>
      <c r="I8">
        <f t="shared" si="2"/>
        <v>0.81145978909922489</v>
      </c>
      <c r="J8">
        <f t="shared" si="3"/>
        <v>2.6221889055472265</v>
      </c>
      <c r="K8">
        <f t="shared" si="4"/>
        <v>0.76789849152443013</v>
      </c>
      <c r="L8">
        <f t="shared" si="5"/>
        <v>-0.26172914980845402</v>
      </c>
      <c r="M8">
        <f t="shared" si="6"/>
        <v>-9.0732996238242117E-2</v>
      </c>
      <c r="N8">
        <f t="shared" si="7"/>
        <v>0.41866397556212759</v>
      </c>
    </row>
    <row r="9" spans="1:14" x14ac:dyDescent="0.3">
      <c r="A9">
        <v>2</v>
      </c>
      <c r="B9">
        <v>0.99</v>
      </c>
      <c r="C9">
        <v>84.82</v>
      </c>
      <c r="D9">
        <v>7.57</v>
      </c>
      <c r="E9">
        <v>16.27</v>
      </c>
      <c r="F9">
        <v>49.43</v>
      </c>
      <c r="G9">
        <f t="shared" si="0"/>
        <v>16.762845849802364</v>
      </c>
      <c r="H9">
        <f t="shared" si="1"/>
        <v>0.2456994482310938</v>
      </c>
      <c r="I9">
        <f t="shared" si="2"/>
        <v>0.5829451809387316</v>
      </c>
      <c r="J9">
        <f t="shared" si="3"/>
        <v>2.9323709709313821</v>
      </c>
      <c r="K9">
        <f t="shared" si="4"/>
        <v>1.2243477512838914</v>
      </c>
      <c r="L9">
        <f t="shared" si="5"/>
        <v>-0.60959581881686786</v>
      </c>
      <c r="M9">
        <f t="shared" si="6"/>
        <v>-0.23437228355177228</v>
      </c>
      <c r="N9">
        <f t="shared" si="7"/>
        <v>0.46721891154789469</v>
      </c>
    </row>
    <row r="10" spans="1:14" x14ac:dyDescent="0.3">
      <c r="A10">
        <v>2</v>
      </c>
      <c r="B10">
        <v>1.49</v>
      </c>
      <c r="C10">
        <v>95.26</v>
      </c>
      <c r="D10">
        <v>6.91</v>
      </c>
      <c r="E10">
        <v>9.01</v>
      </c>
      <c r="F10">
        <v>57.16</v>
      </c>
      <c r="G10">
        <f t="shared" si="0"/>
        <v>60.291139240506403</v>
      </c>
      <c r="H10">
        <f t="shared" si="1"/>
        <v>0.22268772155978087</v>
      </c>
      <c r="I10">
        <f t="shared" si="2"/>
        <v>0.29706561160567097</v>
      </c>
      <c r="J10">
        <f t="shared" si="3"/>
        <v>4.0028011204481784</v>
      </c>
      <c r="K10">
        <f t="shared" si="4"/>
        <v>1.7802534902211495</v>
      </c>
      <c r="L10">
        <f t="shared" si="5"/>
        <v>-0.65230372820996729</v>
      </c>
      <c r="M10">
        <f t="shared" si="6"/>
        <v>-0.52714761933160048</v>
      </c>
      <c r="N10">
        <f t="shared" si="7"/>
        <v>0.60236401267877693</v>
      </c>
    </row>
    <row r="11" spans="1:14" x14ac:dyDescent="0.3">
      <c r="A11">
        <v>2</v>
      </c>
      <c r="B11">
        <v>1.79</v>
      </c>
      <c r="C11">
        <v>96.42</v>
      </c>
      <c r="D11">
        <v>0.88</v>
      </c>
      <c r="E11">
        <v>8.3699999999999992</v>
      </c>
      <c r="F11">
        <v>70.180000000000007</v>
      </c>
      <c r="G11">
        <f t="shared" si="0"/>
        <v>80.79888268156428</v>
      </c>
      <c r="H11">
        <f t="shared" si="1"/>
        <v>2.6634382566585957E-2</v>
      </c>
      <c r="I11">
        <f t="shared" si="2"/>
        <v>0.27403688748226562</v>
      </c>
      <c r="J11">
        <f t="shared" si="3"/>
        <v>7.0603621730382313</v>
      </c>
      <c r="K11">
        <f t="shared" si="4"/>
        <v>1.9074053552227763</v>
      </c>
      <c r="L11">
        <f t="shared" si="5"/>
        <v>-1.574557366498176</v>
      </c>
      <c r="M11">
        <f t="shared" si="6"/>
        <v>-0.56219097385209027</v>
      </c>
      <c r="N11">
        <f t="shared" si="7"/>
        <v>0.8488269794820742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9"/>
  <sheetViews>
    <sheetView workbookViewId="0"/>
  </sheetViews>
  <sheetFormatPr defaultRowHeight="14.4" x14ac:dyDescent="0.3"/>
  <sheetData>
    <row r="1" spans="1:5" x14ac:dyDescent="0.3">
      <c r="B1" s="6" t="s">
        <v>31</v>
      </c>
      <c r="C1" s="6" t="s">
        <v>32</v>
      </c>
      <c r="D1" s="6" t="s">
        <v>33</v>
      </c>
      <c r="E1" s="6" t="s">
        <v>34</v>
      </c>
    </row>
    <row r="2" spans="1:5" x14ac:dyDescent="0.3">
      <c r="A2" s="6" t="s">
        <v>19</v>
      </c>
      <c r="B2">
        <v>1.923027797524254</v>
      </c>
      <c r="C2">
        <v>7.4853223698401292E-2</v>
      </c>
      <c r="D2">
        <v>-2.186903544290268</v>
      </c>
      <c r="E2">
        <v>6.2864096774320477E-7</v>
      </c>
    </row>
    <row r="3" spans="1:5" x14ac:dyDescent="0.3">
      <c r="A3" s="6" t="s">
        <v>21</v>
      </c>
      <c r="B3">
        <v>0.40934781349656968</v>
      </c>
      <c r="C3">
        <v>2.1843946138202071E-2</v>
      </c>
      <c r="D3">
        <v>-1.9088874245070619</v>
      </c>
      <c r="E3">
        <v>4.0077203456387607E-2</v>
      </c>
    </row>
    <row r="4" spans="1:5" x14ac:dyDescent="0.3">
      <c r="A4" s="6" t="s">
        <v>23</v>
      </c>
      <c r="B4">
        <v>0.31947915931938992</v>
      </c>
      <c r="C4">
        <v>2.9492740793582661E-2</v>
      </c>
      <c r="D4">
        <v>-1.8149894692393209</v>
      </c>
      <c r="E4">
        <v>1.113666030224005E-5</v>
      </c>
    </row>
    <row r="5" spans="1:5" x14ac:dyDescent="0.3">
      <c r="A5" s="6" t="s">
        <v>24</v>
      </c>
      <c r="B5">
        <v>0.78814835469677391</v>
      </c>
      <c r="C5">
        <v>1.012490330291782E-2</v>
      </c>
      <c r="D5">
        <v>-2.1064222769976211</v>
      </c>
      <c r="E5">
        <v>4.1511253479831678E-6</v>
      </c>
    </row>
    <row r="6" spans="1:5" x14ac:dyDescent="0.3">
      <c r="A6" s="6" t="s">
        <v>26</v>
      </c>
      <c r="B6">
        <v>1.0961473032578659</v>
      </c>
      <c r="C6">
        <v>5.8248148904600356E-9</v>
      </c>
      <c r="D6">
        <v>-2.316138292405574</v>
      </c>
      <c r="E6">
        <v>0.20823224027600179</v>
      </c>
    </row>
    <row r="7" spans="1:5" x14ac:dyDescent="0.3">
      <c r="A7" s="6" t="s">
        <v>28</v>
      </c>
      <c r="B7">
        <v>1.689088275988571</v>
      </c>
      <c r="C7">
        <v>5.773985786665127E-2</v>
      </c>
      <c r="D7">
        <v>-2.3544739532365888</v>
      </c>
      <c r="E7">
        <v>1.0917406253311379E-6</v>
      </c>
    </row>
    <row r="8" spans="1:5" x14ac:dyDescent="0.3">
      <c r="A8" s="6" t="s">
        <v>20</v>
      </c>
      <c r="B8">
        <v>0.54092509985878701</v>
      </c>
      <c r="C8">
        <v>2.2249778860812559E-7</v>
      </c>
      <c r="D8">
        <v>-2.5048917635523988</v>
      </c>
      <c r="E8">
        <v>0.81413522217104894</v>
      </c>
    </row>
    <row r="9" spans="1:5" x14ac:dyDescent="0.3">
      <c r="A9" s="6" t="s">
        <v>22</v>
      </c>
      <c r="B9">
        <v>0.55355051558094315</v>
      </c>
      <c r="C9">
        <v>1.2954555988138559E-7</v>
      </c>
      <c r="D9">
        <v>-3.0154257342566648</v>
      </c>
      <c r="E9">
        <v>1.532984952799564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3"/>
  <sheetViews>
    <sheetView tabSelected="1" topLeftCell="A10" workbookViewId="0">
      <selection activeCell="I32" sqref="I32"/>
    </sheetView>
  </sheetViews>
  <sheetFormatPr defaultRowHeight="14.4" x14ac:dyDescent="0.3"/>
  <cols>
    <col min="1" max="1" width="11.88671875" bestFit="1" customWidth="1"/>
  </cols>
  <sheetData>
    <row r="1" spans="1:7" x14ac:dyDescent="0.3">
      <c r="A1" t="s">
        <v>51</v>
      </c>
      <c r="B1" t="s">
        <v>1</v>
      </c>
      <c r="C1" t="s">
        <v>0</v>
      </c>
      <c r="D1" t="s">
        <v>52</v>
      </c>
      <c r="E1" t="s">
        <v>53</v>
      </c>
      <c r="F1" t="s">
        <v>54</v>
      </c>
      <c r="G1" t="s">
        <v>55</v>
      </c>
    </row>
    <row r="2" spans="1:7" x14ac:dyDescent="0.3">
      <c r="A2">
        <v>1.5</v>
      </c>
      <c r="B2">
        <v>0.75908372827804105</v>
      </c>
      <c r="C2">
        <v>5</v>
      </c>
      <c r="D2">
        <v>3.3548387096774199</v>
      </c>
      <c r="E2">
        <v>3.4712950600801068E-2</v>
      </c>
      <c r="F2">
        <v>-1.459508469728648</v>
      </c>
      <c r="G2">
        <v>0.01</v>
      </c>
    </row>
    <row r="3" spans="1:7" x14ac:dyDescent="0.3">
      <c r="A3">
        <v>1.5</v>
      </c>
      <c r="B3">
        <v>0.922432859399684</v>
      </c>
      <c r="C3">
        <v>5</v>
      </c>
      <c r="D3">
        <v>3.87096774193548</v>
      </c>
      <c r="E3">
        <v>4.0268456375838882E-2</v>
      </c>
      <c r="F3">
        <v>-1.3950350180286311</v>
      </c>
      <c r="G3">
        <v>0.01</v>
      </c>
    </row>
    <row r="4" spans="1:7" x14ac:dyDescent="0.3">
      <c r="A4">
        <v>1.5</v>
      </c>
      <c r="B4">
        <v>1.24391785150078</v>
      </c>
      <c r="C4">
        <v>5</v>
      </c>
      <c r="D4">
        <v>6.9677419354838497</v>
      </c>
      <c r="E4">
        <v>7.4895977808598913E-2</v>
      </c>
      <c r="F4">
        <v>-1.1255415048964621</v>
      </c>
      <c r="G4">
        <v>0.01</v>
      </c>
    </row>
    <row r="5" spans="1:7" x14ac:dyDescent="0.3">
      <c r="A5">
        <v>1.5</v>
      </c>
      <c r="B5">
        <v>1.4541864139020499</v>
      </c>
      <c r="C5">
        <v>5</v>
      </c>
      <c r="D5">
        <v>17.5483870967741</v>
      </c>
      <c r="E5">
        <v>0.21283255086071851</v>
      </c>
      <c r="F5">
        <v>-0.67196194978818546</v>
      </c>
      <c r="G5">
        <v>0.01</v>
      </c>
    </row>
    <row r="6" spans="1:7" x14ac:dyDescent="0.3">
      <c r="A6">
        <v>1.5</v>
      </c>
      <c r="B6">
        <v>1.5984202211690299</v>
      </c>
      <c r="C6">
        <v>5</v>
      </c>
      <c r="D6">
        <v>25.2903225806451</v>
      </c>
      <c r="E6">
        <v>0.33851468048359129</v>
      </c>
      <c r="F6">
        <v>-0.47042249237096162</v>
      </c>
      <c r="G6">
        <v>0.01</v>
      </c>
    </row>
    <row r="7" spans="1:7" x14ac:dyDescent="0.3">
      <c r="A7">
        <v>1.5</v>
      </c>
      <c r="B7">
        <v>1.81216429699842</v>
      </c>
      <c r="C7">
        <v>5</v>
      </c>
      <c r="D7">
        <v>32.774193548387103</v>
      </c>
      <c r="E7">
        <v>0.48752399232245702</v>
      </c>
      <c r="F7">
        <v>-0.31200400667958628</v>
      </c>
      <c r="G7">
        <v>0.01</v>
      </c>
    </row>
    <row r="8" spans="1:7" x14ac:dyDescent="0.3">
      <c r="A8">
        <v>1.25</v>
      </c>
      <c r="B8">
        <v>0.75908372827804105</v>
      </c>
      <c r="C8">
        <v>5</v>
      </c>
      <c r="D8">
        <v>6.9677419354838497</v>
      </c>
      <c r="E8">
        <v>7.4895977808598913E-2</v>
      </c>
      <c r="F8">
        <v>-1.1255415048964621</v>
      </c>
      <c r="G8">
        <v>0.01</v>
      </c>
    </row>
    <row r="9" spans="1:7" x14ac:dyDescent="0.3">
      <c r="A9">
        <v>1.25</v>
      </c>
      <c r="B9">
        <v>0.89810426540284305</v>
      </c>
      <c r="C9">
        <v>5</v>
      </c>
      <c r="D9">
        <v>8</v>
      </c>
      <c r="E9">
        <v>8.6956521739130432E-2</v>
      </c>
      <c r="F9">
        <v>-1.060697840353612</v>
      </c>
      <c r="G9">
        <v>0.01</v>
      </c>
    </row>
    <row r="10" spans="1:7" x14ac:dyDescent="0.3">
      <c r="A10">
        <v>1.25</v>
      </c>
      <c r="B10">
        <v>1.23522906793048</v>
      </c>
      <c r="C10">
        <v>5</v>
      </c>
      <c r="D10">
        <v>20.387096774193498</v>
      </c>
      <c r="E10">
        <v>0.25607779578606082</v>
      </c>
      <c r="F10">
        <v>-0.59162807707882048</v>
      </c>
      <c r="G10">
        <v>0.01</v>
      </c>
    </row>
    <row r="11" spans="1:7" x14ac:dyDescent="0.3">
      <c r="A11">
        <v>1.25</v>
      </c>
      <c r="B11">
        <v>1.3690363349131101</v>
      </c>
      <c r="C11">
        <v>5</v>
      </c>
      <c r="D11">
        <v>30.451612903225701</v>
      </c>
      <c r="E11">
        <v>0.43784786641929291</v>
      </c>
      <c r="F11">
        <v>-0.35867676221663419</v>
      </c>
      <c r="G11">
        <v>0.01</v>
      </c>
    </row>
    <row r="12" spans="1:7" x14ac:dyDescent="0.3">
      <c r="A12">
        <v>1.25</v>
      </c>
      <c r="B12">
        <v>1.5897314375987299</v>
      </c>
      <c r="C12">
        <v>5</v>
      </c>
      <c r="D12">
        <v>39.4838709677419</v>
      </c>
      <c r="E12">
        <v>0.65245202558635296</v>
      </c>
      <c r="F12">
        <v>-0.18545141623350389</v>
      </c>
      <c r="G12">
        <v>0.01</v>
      </c>
    </row>
    <row r="13" spans="1:7" x14ac:dyDescent="0.3">
      <c r="A13">
        <v>1.25</v>
      </c>
      <c r="B13">
        <v>1.76524486571879</v>
      </c>
      <c r="C13">
        <v>5</v>
      </c>
      <c r="D13">
        <v>45.677419354838698</v>
      </c>
      <c r="E13">
        <v>0.84085510688836063</v>
      </c>
      <c r="F13">
        <v>-7.5278833809880707E-2</v>
      </c>
      <c r="G13">
        <v>0.01</v>
      </c>
    </row>
    <row r="14" spans="1:7" x14ac:dyDescent="0.3">
      <c r="A14">
        <v>1</v>
      </c>
      <c r="B14">
        <v>0.75039494470774004</v>
      </c>
      <c r="C14">
        <v>5</v>
      </c>
      <c r="D14">
        <v>12.1290322580645</v>
      </c>
      <c r="E14">
        <v>0.13803230543318629</v>
      </c>
      <c r="F14">
        <v>-0.86001925831308712</v>
      </c>
      <c r="G14">
        <v>0.01</v>
      </c>
    </row>
    <row r="15" spans="1:7" x14ac:dyDescent="0.3">
      <c r="A15">
        <v>1</v>
      </c>
      <c r="B15">
        <v>0.89984202211690301</v>
      </c>
      <c r="C15">
        <v>5</v>
      </c>
      <c r="D15">
        <v>20.645161290322498</v>
      </c>
      <c r="E15">
        <v>0.26016260162601501</v>
      </c>
      <c r="F15">
        <v>-0.58475513311949412</v>
      </c>
      <c r="G15">
        <v>0.01</v>
      </c>
    </row>
    <row r="16" spans="1:7" x14ac:dyDescent="0.3">
      <c r="A16">
        <v>1</v>
      </c>
      <c r="B16">
        <v>1.20047393364928</v>
      </c>
      <c r="C16">
        <v>5</v>
      </c>
      <c r="D16">
        <v>31.225806451612801</v>
      </c>
      <c r="E16">
        <v>0.45403377110693971</v>
      </c>
      <c r="F16">
        <v>-0.34291184304614308</v>
      </c>
      <c r="G16">
        <v>0.01</v>
      </c>
    </row>
    <row r="17" spans="1:7" x14ac:dyDescent="0.3">
      <c r="A17">
        <v>1</v>
      </c>
      <c r="B17">
        <v>1.4020537124802499</v>
      </c>
      <c r="C17">
        <v>5</v>
      </c>
      <c r="D17">
        <v>42.580645161290299</v>
      </c>
      <c r="E17">
        <v>0.74157303370786443</v>
      </c>
      <c r="F17">
        <v>-0.12984607110304461</v>
      </c>
      <c r="G17">
        <v>0.01</v>
      </c>
    </row>
    <row r="18" spans="1:7" x14ac:dyDescent="0.3">
      <c r="A18">
        <v>1</v>
      </c>
      <c r="B18">
        <v>1.6018957345971501</v>
      </c>
      <c r="C18">
        <v>5</v>
      </c>
      <c r="D18">
        <v>52.129032258064498</v>
      </c>
      <c r="E18">
        <v>1.0889487870619941</v>
      </c>
      <c r="F18">
        <v>3.7007455495558783E-2</v>
      </c>
      <c r="G18">
        <v>0.01</v>
      </c>
    </row>
    <row r="19" spans="1:7" x14ac:dyDescent="0.3">
      <c r="A19">
        <v>0.75</v>
      </c>
      <c r="B19">
        <v>0.76951026856240101</v>
      </c>
      <c r="C19">
        <v>5</v>
      </c>
      <c r="D19">
        <v>19.612903225806399</v>
      </c>
      <c r="E19">
        <v>0.24398073836275999</v>
      </c>
      <c r="F19">
        <v>-0.61264445871439843</v>
      </c>
      <c r="G19">
        <v>0.01</v>
      </c>
    </row>
    <row r="20" spans="1:7" x14ac:dyDescent="0.3">
      <c r="A20">
        <v>0.75</v>
      </c>
      <c r="B20">
        <v>0.87725118483412301</v>
      </c>
      <c r="C20">
        <v>5</v>
      </c>
      <c r="D20">
        <v>28.129032258064498</v>
      </c>
      <c r="E20">
        <v>0.3913824057450625</v>
      </c>
      <c r="F20">
        <v>-0.40739870156912439</v>
      </c>
      <c r="G20">
        <v>0.01</v>
      </c>
    </row>
    <row r="21" spans="1:7" x14ac:dyDescent="0.3">
      <c r="A21">
        <v>0.75</v>
      </c>
      <c r="B21">
        <v>1.25608214849921</v>
      </c>
      <c r="C21">
        <v>5</v>
      </c>
      <c r="D21">
        <v>41.0322580645161</v>
      </c>
      <c r="E21">
        <v>0.69584245076586348</v>
      </c>
      <c r="F21">
        <v>-0.15748908008541809</v>
      </c>
      <c r="G21">
        <v>0.01</v>
      </c>
    </row>
    <row r="22" spans="1:7" x14ac:dyDescent="0.3">
      <c r="A22">
        <v>0.75</v>
      </c>
      <c r="B22">
        <v>1.4037914691943101</v>
      </c>
      <c r="C22">
        <v>5</v>
      </c>
      <c r="D22">
        <v>52.645161290322498</v>
      </c>
      <c r="E22">
        <v>1.111716621253402</v>
      </c>
      <c r="F22">
        <v>4.5994098837789217E-2</v>
      </c>
      <c r="G22">
        <v>0.01</v>
      </c>
    </row>
    <row r="23" spans="1:7" x14ac:dyDescent="0.3">
      <c r="A23">
        <v>0.75</v>
      </c>
      <c r="B23">
        <v>1.56887835703001</v>
      </c>
      <c r="C23">
        <v>5</v>
      </c>
      <c r="D23">
        <v>59.096774193548299</v>
      </c>
      <c r="E23">
        <v>1.444794952681383</v>
      </c>
      <c r="F23">
        <v>0.15980621578611609</v>
      </c>
      <c r="G23">
        <v>0.01</v>
      </c>
    </row>
    <row r="24" spans="1:7" x14ac:dyDescent="0.3">
      <c r="A24">
        <v>0.5</v>
      </c>
      <c r="B24">
        <v>0.74865718799367997</v>
      </c>
      <c r="C24">
        <v>5</v>
      </c>
      <c r="D24">
        <v>25.5483870967741</v>
      </c>
      <c r="E24">
        <v>0.3431542461005182</v>
      </c>
      <c r="F24">
        <v>-0.46451062289420247</v>
      </c>
      <c r="G24">
        <v>0.01</v>
      </c>
    </row>
    <row r="25" spans="1:7" x14ac:dyDescent="0.3">
      <c r="A25">
        <v>0.5</v>
      </c>
      <c r="B25">
        <v>0.90157977883096296</v>
      </c>
      <c r="C25">
        <v>5</v>
      </c>
      <c r="D25">
        <v>36.903225806451601</v>
      </c>
      <c r="E25">
        <v>0.58486707566462137</v>
      </c>
      <c r="F25">
        <v>-0.2329428259945775</v>
      </c>
      <c r="G25">
        <v>0.01</v>
      </c>
    </row>
    <row r="26" spans="1:7" x14ac:dyDescent="0.3">
      <c r="A26">
        <v>0.5</v>
      </c>
      <c r="B26">
        <v>1.20047393364928</v>
      </c>
      <c r="C26">
        <v>5</v>
      </c>
      <c r="D26">
        <v>47.4838709677419</v>
      </c>
      <c r="E26">
        <v>0.90417690417690288</v>
      </c>
      <c r="F26">
        <v>-4.3746590551702998E-2</v>
      </c>
      <c r="G26">
        <v>0.01</v>
      </c>
    </row>
    <row r="27" spans="1:7" x14ac:dyDescent="0.3">
      <c r="A27">
        <v>0.5</v>
      </c>
      <c r="B27">
        <v>1.4003159557661899</v>
      </c>
      <c r="C27">
        <v>5</v>
      </c>
      <c r="D27">
        <v>62.193548387096698</v>
      </c>
      <c r="E27">
        <v>1.6450511945392441</v>
      </c>
      <c r="F27">
        <v>0.21617941788473871</v>
      </c>
      <c r="G27">
        <v>0.01</v>
      </c>
    </row>
    <row r="28" spans="1:7" x14ac:dyDescent="0.3">
      <c r="A28">
        <v>0.5</v>
      </c>
      <c r="B28">
        <v>1.6001579778830901</v>
      </c>
      <c r="C28">
        <v>5</v>
      </c>
      <c r="D28">
        <v>73.0322580645161</v>
      </c>
      <c r="E28">
        <v>2.7081339712918622</v>
      </c>
      <c r="F28">
        <v>0.43267014507721679</v>
      </c>
      <c r="G28">
        <v>0.01</v>
      </c>
    </row>
    <row r="29" spans="1:7" x14ac:dyDescent="0.3">
      <c r="A29">
        <v>0.25</v>
      </c>
      <c r="B29">
        <v>0.73475513428119998</v>
      </c>
      <c r="C29">
        <v>5</v>
      </c>
      <c r="D29">
        <v>33.5483870967741</v>
      </c>
      <c r="E29">
        <v>0.50485436893203661</v>
      </c>
      <c r="F29">
        <v>-0.29683388107037489</v>
      </c>
      <c r="G29">
        <v>0.01</v>
      </c>
    </row>
    <row r="30" spans="1:7" x14ac:dyDescent="0.3">
      <c r="A30">
        <v>0.25</v>
      </c>
      <c r="B30">
        <v>0.90157977883096296</v>
      </c>
      <c r="C30">
        <v>5</v>
      </c>
      <c r="D30">
        <v>45.935483870967701</v>
      </c>
      <c r="E30">
        <v>0.84964200477326834</v>
      </c>
      <c r="F30">
        <v>-7.0764024993420827E-2</v>
      </c>
      <c r="G30">
        <v>0.01</v>
      </c>
    </row>
    <row r="31" spans="1:7" x14ac:dyDescent="0.3">
      <c r="A31">
        <v>0.25</v>
      </c>
      <c r="B31">
        <v>1.1170616113744001</v>
      </c>
      <c r="C31">
        <v>5</v>
      </c>
      <c r="D31">
        <v>55.741935483870897</v>
      </c>
      <c r="E31">
        <v>1.259475218658888</v>
      </c>
      <c r="F31">
        <v>0.1001896267721403</v>
      </c>
      <c r="G31">
        <v>0.01</v>
      </c>
    </row>
    <row r="32" spans="1:7" x14ac:dyDescent="0.3">
      <c r="A32">
        <v>0.25</v>
      </c>
      <c r="B32">
        <v>1.38988941548183</v>
      </c>
      <c r="C32">
        <v>5</v>
      </c>
      <c r="D32">
        <v>72.516129032257993</v>
      </c>
      <c r="E32">
        <v>2.6384976525821502</v>
      </c>
      <c r="F32">
        <v>0.42135671213032178</v>
      </c>
      <c r="G32">
        <v>0.01</v>
      </c>
    </row>
    <row r="33" spans="1:7" x14ac:dyDescent="0.3">
      <c r="A33">
        <v>0.25</v>
      </c>
      <c r="B33">
        <v>1.57930489731437</v>
      </c>
      <c r="C33">
        <v>5</v>
      </c>
      <c r="D33">
        <v>83.354838709677395</v>
      </c>
      <c r="E33">
        <v>5.0077519379844873</v>
      </c>
      <c r="F33">
        <v>0.69964280769583431</v>
      </c>
      <c r="G33">
        <v>0.01</v>
      </c>
    </row>
    <row r="34" spans="1:7" x14ac:dyDescent="0.3">
      <c r="A34">
        <v>0</v>
      </c>
      <c r="B34">
        <v>0.5</v>
      </c>
      <c r="C34">
        <v>1</v>
      </c>
      <c r="D34">
        <v>8.43</v>
      </c>
      <c r="E34">
        <v>0.27618215572785848</v>
      </c>
      <c r="F34">
        <v>-0.55880438484237782</v>
      </c>
      <c r="G34">
        <v>1</v>
      </c>
    </row>
    <row r="35" spans="1:7" x14ac:dyDescent="0.3">
      <c r="A35">
        <v>0</v>
      </c>
      <c r="B35">
        <v>0.5</v>
      </c>
      <c r="C35">
        <v>2</v>
      </c>
      <c r="D35">
        <v>15.59</v>
      </c>
      <c r="E35">
        <v>0.55408126999170715</v>
      </c>
      <c r="F35">
        <v>-0.25642653036117807</v>
      </c>
      <c r="G35">
        <v>1</v>
      </c>
    </row>
    <row r="36" spans="1:7" x14ac:dyDescent="0.3">
      <c r="A36">
        <v>0</v>
      </c>
      <c r="B36">
        <v>0.5</v>
      </c>
      <c r="C36">
        <v>3</v>
      </c>
      <c r="D36">
        <v>20.18</v>
      </c>
      <c r="E36">
        <v>0.75845652718616896</v>
      </c>
      <c r="F36">
        <v>-0.12006930682745021</v>
      </c>
      <c r="G36">
        <v>1</v>
      </c>
    </row>
    <row r="37" spans="1:7" x14ac:dyDescent="0.3">
      <c r="A37">
        <v>0</v>
      </c>
      <c r="B37">
        <v>0.5</v>
      </c>
      <c r="C37">
        <v>4</v>
      </c>
      <c r="D37">
        <v>28.24</v>
      </c>
      <c r="E37">
        <v>1.1806020066889631</v>
      </c>
      <c r="F37">
        <v>7.2103517063392866E-2</v>
      </c>
      <c r="G37">
        <v>1</v>
      </c>
    </row>
    <row r="38" spans="1:7" x14ac:dyDescent="0.3">
      <c r="A38">
        <v>0</v>
      </c>
      <c r="B38">
        <v>0.5</v>
      </c>
      <c r="C38">
        <v>5</v>
      </c>
      <c r="D38">
        <v>38.65</v>
      </c>
      <c r="E38">
        <v>1.889975550122249</v>
      </c>
      <c r="F38">
        <v>0.27645618591098309</v>
      </c>
      <c r="G38">
        <v>1</v>
      </c>
    </row>
    <row r="39" spans="1:7" x14ac:dyDescent="0.3">
      <c r="A39">
        <v>0</v>
      </c>
      <c r="B39">
        <v>0.19</v>
      </c>
      <c r="C39">
        <v>2</v>
      </c>
      <c r="D39">
        <v>64.37</v>
      </c>
      <c r="E39">
        <v>5.4198708953129398</v>
      </c>
      <c r="F39">
        <v>0.73398894149761618</v>
      </c>
      <c r="G39">
        <v>1</v>
      </c>
    </row>
    <row r="40" spans="1:7" x14ac:dyDescent="0.3">
      <c r="A40">
        <v>0</v>
      </c>
      <c r="B40">
        <v>0.5</v>
      </c>
      <c r="C40">
        <v>2</v>
      </c>
      <c r="D40">
        <v>15.43</v>
      </c>
      <c r="E40">
        <v>0.54735721887194044</v>
      </c>
      <c r="F40">
        <v>-0.26172914980845402</v>
      </c>
      <c r="G40">
        <v>1</v>
      </c>
    </row>
    <row r="41" spans="1:7" x14ac:dyDescent="0.3">
      <c r="A41">
        <v>0</v>
      </c>
      <c r="B41">
        <v>0.99</v>
      </c>
      <c r="C41">
        <v>2</v>
      </c>
      <c r="D41">
        <v>7.57</v>
      </c>
      <c r="E41">
        <v>0.2456994482310938</v>
      </c>
      <c r="F41">
        <v>-0.60959581881686786</v>
      </c>
      <c r="G41">
        <v>1</v>
      </c>
    </row>
    <row r="42" spans="1:7" x14ac:dyDescent="0.3">
      <c r="A42">
        <v>0</v>
      </c>
      <c r="B42">
        <v>1.49</v>
      </c>
      <c r="C42">
        <v>2</v>
      </c>
      <c r="D42">
        <v>6.91</v>
      </c>
      <c r="E42">
        <v>0.22268772155978089</v>
      </c>
      <c r="F42">
        <v>-0.65230372820996729</v>
      </c>
      <c r="G42">
        <v>1</v>
      </c>
    </row>
    <row r="43" spans="1:7" x14ac:dyDescent="0.3">
      <c r="A43">
        <v>0</v>
      </c>
      <c r="B43">
        <v>1.79</v>
      </c>
      <c r="C43">
        <v>2</v>
      </c>
      <c r="D43">
        <v>0.88</v>
      </c>
      <c r="E43">
        <v>2.663438256658596E-2</v>
      </c>
      <c r="F43">
        <v>-1.574557366498176</v>
      </c>
      <c r="G4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model validation new</vt:lpstr>
      <vt:lpstr>model validation</vt:lpstr>
      <vt:lpstr>parameter values</vt:lpstr>
      <vt:lpstr>parameter values feed dosage</vt:lpstr>
      <vt:lpstr>parameter values out dosage</vt:lpstr>
      <vt:lpstr>impurities new</vt:lpstr>
      <vt:lpstr>impurities</vt:lpstr>
      <vt:lpstr>new parameter values</vt:lpstr>
      <vt:lpstr>Fe only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Arkoprabho Dasgupta</dc:creator>
  <cp:lastModifiedBy>Arkoprabho Dasgupta</cp:lastModifiedBy>
  <dcterms:created xsi:type="dcterms:W3CDTF">2015-06-05T18:17:20Z</dcterms:created>
  <dcterms:modified xsi:type="dcterms:W3CDTF">2026-01-03T18:50:43Z</dcterms:modified>
</cp:coreProperties>
</file>