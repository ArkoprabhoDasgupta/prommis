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00105\Desktop\Model_software\prommis\src\prommis\solvent_extraction\"/>
    </mc:Choice>
  </mc:AlternateContent>
  <xr:revisionPtr revIDLastSave="0" documentId="13_ncr:1_{42FB0F5A-EA5E-4948-8A0D-1AD4276BC429}" xr6:coauthVersionLast="47" xr6:coauthVersionMax="47" xr10:uidLastSave="{00000000-0000-0000-0000-000000000000}"/>
  <bookViews>
    <workbookView xWindow="-25320" yWindow="1785" windowWidth="25440" windowHeight="15270" firstSheet="9" activeTab="14" xr2:uid="{00000000-000D-0000-FFFF-FFFF00000000}"/>
  </bookViews>
  <sheets>
    <sheet name="Sheet2 (2)" sheetId="14" r:id="rId1"/>
    <sheet name="Sheet1" sheetId="1" r:id="rId2"/>
    <sheet name="Sheet2" sheetId="2" r:id="rId3"/>
    <sheet name="Sheet3" sheetId="3" r:id="rId4"/>
    <sheet name="model validation new" sheetId="4" r:id="rId5"/>
    <sheet name="model validation" sheetId="5" r:id="rId6"/>
    <sheet name="parameter values" sheetId="6" r:id="rId7"/>
    <sheet name="parameter values feed dosage" sheetId="7" r:id="rId8"/>
    <sheet name="parameter values out dosage" sheetId="8" r:id="rId9"/>
    <sheet name="impurities" sheetId="10" r:id="rId10"/>
    <sheet name="impurities new" sheetId="9" r:id="rId11"/>
    <sheet name="new parameter values" sheetId="11" r:id="rId12"/>
    <sheet name="Fe only" sheetId="12" r:id="rId13"/>
    <sheet name="Fe only (2)" sheetId="13" r:id="rId14"/>
    <sheet name="Fe only (3)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5" l="1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2" i="15"/>
  <c r="F45" i="12"/>
  <c r="F46" i="12"/>
  <c r="F47" i="12"/>
  <c r="F48" i="12"/>
  <c r="F49" i="12"/>
  <c r="F50" i="12"/>
  <c r="F51" i="12"/>
  <c r="F52" i="12"/>
  <c r="F53" i="12"/>
  <c r="F54" i="12"/>
  <c r="F55" i="12"/>
  <c r="F56" i="12"/>
  <c r="F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44" i="12"/>
  <c r="J11" i="10" l="1"/>
  <c r="N11" i="10" s="1"/>
  <c r="I11" i="10"/>
  <c r="M11" i="10" s="1"/>
  <c r="H11" i="10"/>
  <c r="L11" i="10" s="1"/>
  <c r="G11" i="10"/>
  <c r="K11" i="10" s="1"/>
  <c r="J10" i="10"/>
  <c r="N10" i="10" s="1"/>
  <c r="I10" i="10"/>
  <c r="M10" i="10" s="1"/>
  <c r="H10" i="10"/>
  <c r="L10" i="10" s="1"/>
  <c r="G10" i="10"/>
  <c r="K10" i="10" s="1"/>
  <c r="J9" i="10"/>
  <c r="N9" i="10" s="1"/>
  <c r="I9" i="10"/>
  <c r="M9" i="10" s="1"/>
  <c r="H9" i="10"/>
  <c r="L9" i="10" s="1"/>
  <c r="G9" i="10"/>
  <c r="K9" i="10" s="1"/>
  <c r="J8" i="10"/>
  <c r="N8" i="10" s="1"/>
  <c r="I8" i="10"/>
  <c r="M8" i="10" s="1"/>
  <c r="H8" i="10"/>
  <c r="L8" i="10" s="1"/>
  <c r="G8" i="10"/>
  <c r="K8" i="10" s="1"/>
  <c r="J7" i="10"/>
  <c r="N7" i="10" s="1"/>
  <c r="I7" i="10"/>
  <c r="M7" i="10" s="1"/>
  <c r="H7" i="10"/>
  <c r="L7" i="10" s="1"/>
  <c r="G7" i="10"/>
  <c r="K7" i="10" s="1"/>
  <c r="J6" i="10"/>
  <c r="N6" i="10" s="1"/>
  <c r="I6" i="10"/>
  <c r="M6" i="10" s="1"/>
  <c r="H6" i="10"/>
  <c r="L6" i="10" s="1"/>
  <c r="G6" i="10"/>
  <c r="K6" i="10" s="1"/>
  <c r="J5" i="10"/>
  <c r="N5" i="10" s="1"/>
  <c r="I5" i="10"/>
  <c r="M5" i="10" s="1"/>
  <c r="H5" i="10"/>
  <c r="L5" i="10" s="1"/>
  <c r="G5" i="10"/>
  <c r="K5" i="10" s="1"/>
  <c r="J4" i="10"/>
  <c r="N4" i="10" s="1"/>
  <c r="I4" i="10"/>
  <c r="M4" i="10" s="1"/>
  <c r="H4" i="10"/>
  <c r="L4" i="10" s="1"/>
  <c r="G4" i="10"/>
  <c r="K4" i="10" s="1"/>
  <c r="J3" i="10"/>
  <c r="N3" i="10" s="1"/>
  <c r="I3" i="10"/>
  <c r="M3" i="10" s="1"/>
  <c r="H3" i="10"/>
  <c r="L3" i="10" s="1"/>
  <c r="G3" i="10"/>
  <c r="K3" i="10" s="1"/>
  <c r="J2" i="10"/>
  <c r="N2" i="10" s="1"/>
  <c r="I2" i="10"/>
  <c r="M2" i="10" s="1"/>
  <c r="H2" i="10"/>
  <c r="L2" i="10" s="1"/>
  <c r="G2" i="10"/>
  <c r="K2" i="10" s="1"/>
  <c r="F10" i="4"/>
  <c r="F11" i="4" s="1"/>
</calcChain>
</file>

<file path=xl/sharedStrings.xml><?xml version="1.0" encoding="utf-8"?>
<sst xmlns="http://schemas.openxmlformats.org/spreadsheetml/2006/main" count="213" uniqueCount="65">
  <si>
    <t>dosage</t>
  </si>
  <si>
    <t>pH</t>
  </si>
  <si>
    <t>logD Y</t>
  </si>
  <si>
    <t>logD Ce</t>
  </si>
  <si>
    <t>logD Nd</t>
  </si>
  <si>
    <t>logD Sm</t>
  </si>
  <si>
    <t>logD Gd</t>
  </si>
  <si>
    <t>logD Dy</t>
  </si>
  <si>
    <t>w_Y</t>
  </si>
  <si>
    <t>w_Ce</t>
  </si>
  <si>
    <t>w_Nd</t>
  </si>
  <si>
    <t>w_Sm</t>
  </si>
  <si>
    <t>w_Gd</t>
  </si>
  <si>
    <t>w_Dy</t>
  </si>
  <si>
    <t>logD La</t>
  </si>
  <si>
    <t>logD Pr</t>
  </si>
  <si>
    <t>w_La</t>
  </si>
  <si>
    <t>w_Pr</t>
  </si>
  <si>
    <t>Acid conc (M)</t>
  </si>
  <si>
    <t>Y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</si>
  <si>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</si>
  <si>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</si>
  <si>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</si>
  <si>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</si>
  <si>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</si>
  <si>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</si>
  <si>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</si>
  <si>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</si>
  <si>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</si>
  <si>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</si>
  <si>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</si>
  <si>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a1</t>
  </si>
  <si>
    <t>a2</t>
  </si>
  <si>
    <t>b1</t>
  </si>
  <si>
    <t>b2</t>
  </si>
  <si>
    <t>logD Sc</t>
  </si>
  <si>
    <t>logD Fe</t>
  </si>
  <si>
    <t>logD Al</t>
  </si>
  <si>
    <t>logD Ca</t>
  </si>
  <si>
    <t>w_Sc</t>
  </si>
  <si>
    <t>w_Fe</t>
  </si>
  <si>
    <t>w_Al</t>
  </si>
  <si>
    <t>w_Ca</t>
  </si>
  <si>
    <t>E Sc</t>
  </si>
  <si>
    <t>E Fe</t>
  </si>
  <si>
    <t>E Al</t>
  </si>
  <si>
    <t>E Ca</t>
  </si>
  <si>
    <t>D Sc</t>
  </si>
  <si>
    <t>D Fe</t>
  </si>
  <si>
    <t>D Al</t>
  </si>
  <si>
    <t>D Ca</t>
  </si>
  <si>
    <t>ascorbic (g/L)</t>
  </si>
  <si>
    <t>E</t>
  </si>
  <si>
    <t>D</t>
  </si>
  <si>
    <t>logD</t>
  </si>
  <si>
    <t>w</t>
  </si>
  <si>
    <t>E Y</t>
  </si>
  <si>
    <t>E Ce</t>
  </si>
  <si>
    <t>E Nd</t>
  </si>
  <si>
    <t>E Sm</t>
  </si>
  <si>
    <t>E Gd</t>
  </si>
  <si>
    <t>E Dy</t>
  </si>
  <si>
    <t>E La</t>
  </si>
  <si>
    <t>E Pr</t>
  </si>
  <si>
    <t>A/O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</si>
</sst>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2" fontId="0" fillId="0" borderId="0" xfId="0" applyNumberFormat="1"/>
    <xf numFmtId="0" fontId="4" fillId="0" borderId="4" xfId="0" applyFont="1" applyBorder="1" applyAlignment="1">
      <alignment horizontal="center" vertical="top"/>
    </xf>
    <xf numFmtId="0" fontId="0" fillId="2" borderId="0" xfId="0" applyFill="1"/>
    <xf numFmtId="2" fontId="0" fillId="2" borderId="0" xfId="0" applyNumberFormat="1" applyFill="1"/>
    <xf numFmtId="2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AF83-F84A-48AC-90E6-43D075812AD2}">
  <dimension ref="A1:Z19"/>
  <sheetViews>
    <sheetView zoomScaleNormal="100" workbookViewId="0">
      <selection activeCell="R22" sqref="R2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16</v>
      </c>
      <c r="R1" t="s">
        <v>17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</row>
    <row r="2" spans="1:26" s="7" customFormat="1" x14ac:dyDescent="0.25">
      <c r="A2" s="8">
        <v>4.9878531370748496</v>
      </c>
      <c r="B2" s="7">
        <v>0.24099999999999999</v>
      </c>
      <c r="C2" s="7">
        <v>-1.64</v>
      </c>
      <c r="D2">
        <v>-1.36</v>
      </c>
      <c r="E2" s="7">
        <v>-1.81</v>
      </c>
      <c r="F2" s="7">
        <v>-1.67</v>
      </c>
      <c r="G2" s="7">
        <v>-1.85</v>
      </c>
      <c r="H2" s="7">
        <v>-1.74</v>
      </c>
      <c r="I2" s="7">
        <v>0</v>
      </c>
      <c r="J2" s="7">
        <v>-1.36</v>
      </c>
      <c r="K2" s="7">
        <v>1</v>
      </c>
      <c r="L2" s="7">
        <v>5</v>
      </c>
      <c r="M2" s="7">
        <v>5</v>
      </c>
      <c r="N2" s="7">
        <v>0</v>
      </c>
      <c r="O2" s="7">
        <v>1</v>
      </c>
      <c r="P2" s="7">
        <v>1</v>
      </c>
      <c r="Q2" s="7">
        <v>0</v>
      </c>
      <c r="R2" s="7">
        <v>0</v>
      </c>
      <c r="S2" s="7">
        <v>2.2395622457170412</v>
      </c>
      <c r="T2" s="7">
        <v>4.1825819962989419</v>
      </c>
      <c r="U2" s="7">
        <v>2.0932100521339581</v>
      </c>
      <c r="V2" s="7">
        <v>1.3928628341453531</v>
      </c>
      <c r="W2" s="7">
        <v>1.7871795372261761</v>
      </c>
      <c r="X2" s="7">
        <v>1.4909941389328649</v>
      </c>
      <c r="Y2" s="7">
        <v>1.1879817525171541</v>
      </c>
      <c r="Z2" s="7">
        <v>1.5251941583177719</v>
      </c>
    </row>
    <row r="3" spans="1:26" x14ac:dyDescent="0.25">
      <c r="A3" s="5">
        <v>4.9785421780668777</v>
      </c>
      <c r="B3">
        <v>0.52700000000000002</v>
      </c>
      <c r="C3">
        <v>-1.1499999999999999</v>
      </c>
      <c r="D3">
        <v>-1.48</v>
      </c>
      <c r="E3">
        <v>-1.54</v>
      </c>
      <c r="F3">
        <v>-1.62</v>
      </c>
      <c r="G3">
        <v>-1.59</v>
      </c>
      <c r="H3">
        <v>-1.47</v>
      </c>
      <c r="I3">
        <v>-1.53</v>
      </c>
      <c r="J3">
        <v>-1.2</v>
      </c>
      <c r="K3">
        <v>1</v>
      </c>
      <c r="L3">
        <v>0</v>
      </c>
      <c r="M3" s="7">
        <v>5</v>
      </c>
      <c r="N3">
        <v>1</v>
      </c>
      <c r="O3">
        <v>1</v>
      </c>
      <c r="P3">
        <v>1</v>
      </c>
      <c r="Q3">
        <v>0</v>
      </c>
      <c r="R3">
        <v>0</v>
      </c>
      <c r="S3">
        <v>6.6114061337195604</v>
      </c>
      <c r="T3">
        <v>3.205177802787111</v>
      </c>
      <c r="U3">
        <v>2.803186715169653</v>
      </c>
      <c r="V3">
        <v>2.3426369721582359</v>
      </c>
      <c r="W3">
        <v>2.5059821239382138</v>
      </c>
      <c r="X3">
        <v>3.2773891454587498</v>
      </c>
      <c r="Y3">
        <v>2.866609580241787</v>
      </c>
      <c r="Z3">
        <v>5.9350943102767584</v>
      </c>
    </row>
    <row r="4" spans="1:26" x14ac:dyDescent="0.25">
      <c r="A4" s="5">
        <v>4.9294758200052957</v>
      </c>
      <c r="B4">
        <v>0.79600000000000004</v>
      </c>
      <c r="C4">
        <v>-0.46</v>
      </c>
      <c r="D4">
        <v>-1.51</v>
      </c>
      <c r="E4">
        <v>-1.46</v>
      </c>
      <c r="F4">
        <v>-1.55</v>
      </c>
      <c r="G4">
        <v>-1.42</v>
      </c>
      <c r="H4">
        <v>-0.98</v>
      </c>
      <c r="I4">
        <v>-1.53</v>
      </c>
      <c r="J4">
        <v>-1.46</v>
      </c>
      <c r="K4">
        <v>1</v>
      </c>
      <c r="L4">
        <v>0</v>
      </c>
      <c r="M4" s="7">
        <v>5</v>
      </c>
      <c r="N4">
        <v>1</v>
      </c>
      <c r="O4">
        <v>1</v>
      </c>
      <c r="P4">
        <v>1</v>
      </c>
      <c r="Q4">
        <v>1</v>
      </c>
      <c r="R4">
        <v>1</v>
      </c>
      <c r="S4">
        <v>25.746444105693019</v>
      </c>
      <c r="T4">
        <v>2.9976589159516012</v>
      </c>
      <c r="U4">
        <v>3.351171054837125</v>
      </c>
      <c r="V4">
        <v>2.7411274627306499</v>
      </c>
      <c r="W4">
        <v>3.6626441176046929</v>
      </c>
      <c r="X4">
        <v>9.4787395973196098</v>
      </c>
      <c r="Y4">
        <v>2.866609580241787</v>
      </c>
      <c r="Z4">
        <v>3.3511710548371201</v>
      </c>
    </row>
    <row r="5" spans="1:26" s="10" customFormat="1" x14ac:dyDescent="0.25">
      <c r="A5" s="9">
        <v>4.8132193011041764</v>
      </c>
      <c r="B5" s="10">
        <v>1.137</v>
      </c>
      <c r="C5" s="10">
        <v>0.35</v>
      </c>
      <c r="D5">
        <v>-1.34</v>
      </c>
      <c r="E5" s="10">
        <v>-1.44</v>
      </c>
      <c r="F5" s="10">
        <v>-1.55</v>
      </c>
      <c r="G5" s="10">
        <v>-1.1599999999999999</v>
      </c>
      <c r="H5" s="10">
        <v>-0.24</v>
      </c>
      <c r="I5" s="10">
        <v>-1.53</v>
      </c>
      <c r="J5" s="10">
        <v>-1.44</v>
      </c>
      <c r="K5" s="10">
        <v>1</v>
      </c>
      <c r="L5" s="7">
        <v>5</v>
      </c>
      <c r="M5" s="7">
        <v>5</v>
      </c>
      <c r="N5" s="10">
        <v>0</v>
      </c>
      <c r="O5" s="10">
        <v>0</v>
      </c>
      <c r="P5" s="10">
        <v>1</v>
      </c>
      <c r="Q5" s="10">
        <v>0</v>
      </c>
      <c r="R5" s="10">
        <v>1</v>
      </c>
      <c r="S5" s="10">
        <v>69.123615241476301</v>
      </c>
      <c r="T5" s="10">
        <v>4.3710847735683966</v>
      </c>
      <c r="U5" s="10">
        <v>3.5035734831986272</v>
      </c>
      <c r="V5" s="10">
        <v>2.7411274627306499</v>
      </c>
      <c r="W5" s="10">
        <v>6.4706500953921759</v>
      </c>
      <c r="X5" s="10">
        <v>36.525666494768323</v>
      </c>
      <c r="Y5" s="10">
        <v>2.866609580241787</v>
      </c>
      <c r="Z5" s="10">
        <v>6.7550028996576179</v>
      </c>
    </row>
    <row r="6" spans="1:26" x14ac:dyDescent="0.25">
      <c r="A6" s="5">
        <v>4.751685080492198</v>
      </c>
      <c r="B6">
        <v>1.321</v>
      </c>
      <c r="C6">
        <v>0.87</v>
      </c>
      <c r="D6">
        <v>-1.3</v>
      </c>
      <c r="E6">
        <v>-1.32</v>
      </c>
      <c r="F6">
        <v>-1.1100000000000001</v>
      </c>
      <c r="G6">
        <v>-0.8</v>
      </c>
      <c r="H6">
        <v>0.26</v>
      </c>
      <c r="I6">
        <v>-1.22</v>
      </c>
      <c r="J6">
        <v>-1.32</v>
      </c>
      <c r="K6">
        <v>1</v>
      </c>
      <c r="L6" s="7">
        <v>5</v>
      </c>
      <c r="M6" s="7">
        <v>5</v>
      </c>
      <c r="N6">
        <v>1</v>
      </c>
      <c r="O6">
        <v>1</v>
      </c>
      <c r="P6">
        <v>1</v>
      </c>
      <c r="Q6">
        <v>1</v>
      </c>
      <c r="R6">
        <v>0</v>
      </c>
      <c r="S6">
        <v>88.113778355369817</v>
      </c>
      <c r="T6">
        <v>4.7726721034203887</v>
      </c>
      <c r="U6">
        <v>4.5676781039662373</v>
      </c>
      <c r="V6">
        <v>7.2033158503842589</v>
      </c>
      <c r="W6">
        <v>13.680688860321</v>
      </c>
      <c r="X6">
        <v>64.535245043938247</v>
      </c>
      <c r="Y6">
        <v>5.6831520840097216</v>
      </c>
      <c r="Z6">
        <v>4.1825819962989419</v>
      </c>
    </row>
    <row r="7" spans="1:26" x14ac:dyDescent="0.25">
      <c r="A7" s="5">
        <v>4.7231095025915941</v>
      </c>
      <c r="B7">
        <v>1.466</v>
      </c>
      <c r="C7">
        <v>1.2</v>
      </c>
      <c r="D7">
        <v>-1.17</v>
      </c>
      <c r="E7">
        <v>-1.19</v>
      </c>
      <c r="F7">
        <v>-0.85</v>
      </c>
      <c r="G7">
        <v>-0.52</v>
      </c>
      <c r="H7">
        <v>0.61</v>
      </c>
      <c r="I7">
        <v>-1.22</v>
      </c>
      <c r="J7">
        <v>-1.19</v>
      </c>
      <c r="K7">
        <v>1</v>
      </c>
      <c r="L7" s="7">
        <v>5</v>
      </c>
      <c r="M7" s="7">
        <v>5</v>
      </c>
      <c r="N7">
        <v>1</v>
      </c>
      <c r="O7">
        <v>1</v>
      </c>
      <c r="P7">
        <v>1</v>
      </c>
      <c r="Q7">
        <v>0</v>
      </c>
      <c r="R7">
        <v>1</v>
      </c>
      <c r="S7">
        <v>94.064905689723247</v>
      </c>
      <c r="T7">
        <v>6.3326875310947912</v>
      </c>
      <c r="U7">
        <v>6.0649558509397794</v>
      </c>
      <c r="V7">
        <v>12.377068106893541</v>
      </c>
      <c r="W7">
        <v>23.194799683241602</v>
      </c>
      <c r="X7">
        <v>80.290917015381595</v>
      </c>
      <c r="Y7">
        <v>5.6831520840097216</v>
      </c>
      <c r="Z7">
        <v>10.08826283567233</v>
      </c>
    </row>
    <row r="8" spans="1:26" x14ac:dyDescent="0.25">
      <c r="A8" s="5">
        <v>4.7094378121328804</v>
      </c>
      <c r="B8">
        <v>1.524</v>
      </c>
      <c r="C8">
        <v>1.35</v>
      </c>
      <c r="D8">
        <v>-1.02</v>
      </c>
      <c r="E8">
        <v>-1</v>
      </c>
      <c r="F8">
        <v>-0.72</v>
      </c>
      <c r="G8">
        <v>-0.34</v>
      </c>
      <c r="H8">
        <v>0.77</v>
      </c>
      <c r="I8">
        <v>0.89</v>
      </c>
      <c r="J8">
        <v>-1</v>
      </c>
      <c r="K8">
        <v>1</v>
      </c>
      <c r="L8" s="7">
        <v>5</v>
      </c>
      <c r="M8">
        <v>0</v>
      </c>
      <c r="N8">
        <v>1</v>
      </c>
      <c r="O8">
        <v>1</v>
      </c>
      <c r="P8">
        <v>1</v>
      </c>
      <c r="Q8">
        <v>0</v>
      </c>
      <c r="R8">
        <v>1</v>
      </c>
      <c r="S8">
        <v>95.724158885346398</v>
      </c>
      <c r="T8">
        <v>8.7174188254586831</v>
      </c>
      <c r="U8">
        <v>9.0909090909090917</v>
      </c>
      <c r="V8">
        <v>16.00493053652465</v>
      </c>
      <c r="W8">
        <v>31.369974231668749</v>
      </c>
      <c r="X8">
        <v>85.482917753175954</v>
      </c>
      <c r="Y8">
        <v>11.41230574141505</v>
      </c>
      <c r="Z8">
        <v>11.647171194356069</v>
      </c>
    </row>
    <row r="9" spans="1:26" s="7" customFormat="1" x14ac:dyDescent="0.25">
      <c r="A9" s="8">
        <v>1.9915790348048139</v>
      </c>
      <c r="B9" s="7">
        <v>0.235616438356164</v>
      </c>
      <c r="C9" s="7">
        <v>-1.614154798725508</v>
      </c>
      <c r="D9" s="7">
        <v>-1.852615520079504</v>
      </c>
      <c r="E9" s="7">
        <v>-1.741725335781714</v>
      </c>
      <c r="F9" s="7">
        <v>-1.852615520079504</v>
      </c>
      <c r="G9" s="7">
        <v>-1.65282239968498</v>
      </c>
      <c r="H9" s="7">
        <v>-1.741725335781714</v>
      </c>
      <c r="I9" s="7">
        <v>0</v>
      </c>
      <c r="J9" s="7">
        <v>0</v>
      </c>
      <c r="K9" s="7">
        <v>0</v>
      </c>
      <c r="L9" s="7">
        <v>5</v>
      </c>
      <c r="M9" s="7">
        <v>5</v>
      </c>
      <c r="N9" s="7">
        <v>1</v>
      </c>
      <c r="O9" s="7">
        <v>0</v>
      </c>
      <c r="P9" s="7">
        <v>0</v>
      </c>
      <c r="Q9" s="7">
        <v>0</v>
      </c>
      <c r="R9" s="7">
        <v>0</v>
      </c>
      <c r="S9" s="7">
        <v>2.3736263736263585</v>
      </c>
      <c r="T9" s="7">
        <v>1.3846153846153493</v>
      </c>
      <c r="U9" s="7">
        <v>1.7802197802197592</v>
      </c>
      <c r="V9" s="7">
        <v>1.3846153846153493</v>
      </c>
      <c r="W9" s="7">
        <v>2.1758241758241397</v>
      </c>
      <c r="X9" s="7">
        <v>1.7802197802197592</v>
      </c>
      <c r="Y9" s="7">
        <v>0</v>
      </c>
      <c r="Z9" s="7">
        <v>0</v>
      </c>
    </row>
    <row r="10" spans="1:26" x14ac:dyDescent="0.25">
      <c r="A10" s="5">
        <v>1.980691304582046</v>
      </c>
      <c r="B10">
        <v>0.52876712328767095</v>
      </c>
      <c r="C10">
        <v>-1.1702209576189531</v>
      </c>
      <c r="D10">
        <v>-1.45846503480211</v>
      </c>
      <c r="E10">
        <v>-1.514596939418587</v>
      </c>
      <c r="F10">
        <v>-1.578511869553177</v>
      </c>
      <c r="G10">
        <v>-1.578511869553177</v>
      </c>
      <c r="H10">
        <v>-1.514596939418587</v>
      </c>
      <c r="I10">
        <v>0</v>
      </c>
      <c r="J10">
        <v>0</v>
      </c>
      <c r="K10">
        <v>1</v>
      </c>
      <c r="L10" s="7">
        <v>5</v>
      </c>
      <c r="M10" s="7">
        <v>5</v>
      </c>
      <c r="N10">
        <v>1</v>
      </c>
      <c r="O10">
        <v>1</v>
      </c>
      <c r="P10">
        <v>1</v>
      </c>
      <c r="Q10">
        <v>0</v>
      </c>
      <c r="R10">
        <v>0</v>
      </c>
      <c r="S10">
        <v>6.329670329670317</v>
      </c>
      <c r="T10">
        <v>3.3626373626373383</v>
      </c>
      <c r="U10">
        <v>2.9670329670329285</v>
      </c>
      <c r="V10">
        <v>2.571428571428549</v>
      </c>
      <c r="W10">
        <v>2.571428571428549</v>
      </c>
      <c r="X10">
        <v>2.9670329670329285</v>
      </c>
      <c r="Y10">
        <v>0</v>
      </c>
      <c r="Z10">
        <v>0</v>
      </c>
    </row>
    <row r="11" spans="1:26" x14ac:dyDescent="0.25">
      <c r="A11" s="5">
        <v>1.9336677366397059</v>
      </c>
      <c r="B11">
        <v>0.80273972602739696</v>
      </c>
      <c r="C11">
        <v>-0.45624494742588528</v>
      </c>
      <c r="D11">
        <v>-1.4856820007195011</v>
      </c>
      <c r="E11">
        <v>-1.45846503480211</v>
      </c>
      <c r="F11">
        <v>-1.545444573179084</v>
      </c>
      <c r="G11">
        <v>-1.4327516043600459</v>
      </c>
      <c r="H11">
        <v>-0.95957134294439284</v>
      </c>
      <c r="I11">
        <v>0</v>
      </c>
      <c r="J11">
        <v>0</v>
      </c>
      <c r="K11">
        <v>1</v>
      </c>
      <c r="L11">
        <v>0</v>
      </c>
      <c r="M11" s="7">
        <v>5</v>
      </c>
      <c r="N11">
        <v>1</v>
      </c>
      <c r="O11">
        <v>1</v>
      </c>
      <c r="P11">
        <v>1</v>
      </c>
      <c r="Q11">
        <v>0</v>
      </c>
      <c r="R11">
        <v>0</v>
      </c>
      <c r="S11">
        <v>25.912087912087799</v>
      </c>
      <c r="T11" s="11">
        <v>3.1648351648351496</v>
      </c>
      <c r="U11">
        <v>3.3626373626373383</v>
      </c>
      <c r="V11">
        <v>2.7692307692307394</v>
      </c>
      <c r="W11">
        <v>3.56043956043953</v>
      </c>
      <c r="X11">
        <v>9.8901098901098674</v>
      </c>
      <c r="Y11">
        <v>0</v>
      </c>
      <c r="Z11">
        <v>0</v>
      </c>
    </row>
    <row r="12" spans="1:26" s="10" customFormat="1" x14ac:dyDescent="0.25">
      <c r="A12" s="9">
        <v>1.827040781438199</v>
      </c>
      <c r="B12" s="10">
        <v>1.1671232876712301</v>
      </c>
      <c r="C12" s="10">
        <v>0.34014801111555087</v>
      </c>
      <c r="D12" s="10">
        <v>-1.3631242825001839</v>
      </c>
      <c r="E12" s="10">
        <v>-1.4327516043600459</v>
      </c>
      <c r="F12" s="10">
        <v>-1.578511869553177</v>
      </c>
      <c r="G12" s="10">
        <v>-1.142053948747725</v>
      </c>
      <c r="H12" s="10">
        <v>-0.24615343666192119</v>
      </c>
      <c r="I12" s="10">
        <v>0</v>
      </c>
      <c r="J12" s="10">
        <v>0</v>
      </c>
      <c r="K12" s="10">
        <v>1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68.637362637362614</v>
      </c>
      <c r="T12" s="10">
        <v>4.1538461538461409</v>
      </c>
      <c r="U12" s="10">
        <v>3.56043956043953</v>
      </c>
      <c r="V12" s="10">
        <v>2.571428571428549</v>
      </c>
      <c r="W12" s="10">
        <v>6.7252747252746978</v>
      </c>
      <c r="X12" s="10">
        <v>36.197802197802098</v>
      </c>
      <c r="Y12" s="10">
        <v>0</v>
      </c>
      <c r="Z12" s="10">
        <v>0</v>
      </c>
    </row>
    <row r="13" spans="1:26" x14ac:dyDescent="0.25">
      <c r="A13" s="5">
        <v>1.7705451871527289</v>
      </c>
      <c r="B13">
        <v>1.4164383561643801</v>
      </c>
      <c r="C13">
        <v>0.84226874999539159</v>
      </c>
      <c r="D13">
        <v>-1.3024351558328691</v>
      </c>
      <c r="E13">
        <v>-1.321819483905311</v>
      </c>
      <c r="F13">
        <v>-1.0900496250895491</v>
      </c>
      <c r="G13">
        <v>-0.79394551756687726</v>
      </c>
      <c r="H13">
        <v>0.25527250510330463</v>
      </c>
      <c r="I13">
        <v>0</v>
      </c>
      <c r="J13">
        <v>0</v>
      </c>
      <c r="K13">
        <v>1</v>
      </c>
      <c r="L13">
        <v>5</v>
      </c>
      <c r="M13">
        <v>5</v>
      </c>
      <c r="N13">
        <v>1</v>
      </c>
      <c r="O13">
        <v>1</v>
      </c>
      <c r="P13">
        <v>1</v>
      </c>
      <c r="Q13">
        <v>0</v>
      </c>
      <c r="R13">
        <v>0</v>
      </c>
      <c r="S13">
        <v>87.428571428571402</v>
      </c>
      <c r="T13">
        <v>4.7472527472527402</v>
      </c>
      <c r="U13">
        <v>4.5494505494505493</v>
      </c>
      <c r="V13">
        <v>7.5164835164834978</v>
      </c>
      <c r="W13">
        <v>13.846153846153793</v>
      </c>
      <c r="X13">
        <v>64.285714285714207</v>
      </c>
      <c r="Y13">
        <v>0</v>
      </c>
      <c r="Z13">
        <v>0</v>
      </c>
    </row>
    <row r="14" spans="1:26" x14ac:dyDescent="0.25">
      <c r="A14" s="5">
        <v>1.7440974190635239</v>
      </c>
      <c r="B14">
        <v>1.61369863013698</v>
      </c>
      <c r="C14">
        <v>1.191603425233924</v>
      </c>
      <c r="D14">
        <v>-1.155938933396812</v>
      </c>
      <c r="E14">
        <v>-1.184925368153227</v>
      </c>
      <c r="F14">
        <v>-0.83880537935058663</v>
      </c>
      <c r="G14">
        <v>-0.51645195951508038</v>
      </c>
      <c r="H14">
        <v>0.59434585455452171</v>
      </c>
      <c r="I14">
        <v>0</v>
      </c>
      <c r="J14">
        <v>0</v>
      </c>
      <c r="K14">
        <v>1</v>
      </c>
      <c r="L14">
        <v>5</v>
      </c>
      <c r="M14">
        <v>5</v>
      </c>
      <c r="N14">
        <v>1</v>
      </c>
      <c r="O14">
        <v>1</v>
      </c>
      <c r="P14">
        <v>1</v>
      </c>
      <c r="Q14">
        <v>0</v>
      </c>
      <c r="R14">
        <v>0</v>
      </c>
      <c r="S14">
        <v>93.956043956043899</v>
      </c>
      <c r="T14">
        <v>6.5274725274725096</v>
      </c>
      <c r="U14">
        <v>6.1318681318681314</v>
      </c>
      <c r="V14">
        <v>12.659340659340595</v>
      </c>
      <c r="W14">
        <v>23.340659340659293</v>
      </c>
      <c r="X14">
        <v>79.714285714285694</v>
      </c>
      <c r="Y14">
        <v>0</v>
      </c>
      <c r="Z14">
        <v>0</v>
      </c>
    </row>
    <row r="15" spans="1:26" x14ac:dyDescent="0.25">
      <c r="A15" s="5">
        <v>1.7322008018720709</v>
      </c>
      <c r="B15">
        <v>1.6958904109588999</v>
      </c>
      <c r="C15">
        <v>1.330693602277621</v>
      </c>
      <c r="D15">
        <v>-0.99958018896498813</v>
      </c>
      <c r="E15">
        <v>-0.99958018896498813</v>
      </c>
      <c r="F15">
        <v>-0.71309653014324781</v>
      </c>
      <c r="G15">
        <v>-0.33837574099736839</v>
      </c>
      <c r="H15">
        <v>0.76199725943106256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95.538461538461505</v>
      </c>
      <c r="T15">
        <v>9.0989010989010772</v>
      </c>
      <c r="U15">
        <v>9.0989010989010772</v>
      </c>
      <c r="V15">
        <v>16.219780219780201</v>
      </c>
      <c r="W15">
        <v>31.450549450549399</v>
      </c>
      <c r="X15">
        <v>85.252747252747199</v>
      </c>
      <c r="Y15">
        <v>0</v>
      </c>
      <c r="Z15">
        <v>0</v>
      </c>
    </row>
    <row r="16" spans="1:26" x14ac:dyDescent="0.25">
      <c r="A16" s="5">
        <v>1.7069872080419219</v>
      </c>
      <c r="B16">
        <v>2.0739726027397198</v>
      </c>
      <c r="C16">
        <v>1.818962939492804</v>
      </c>
      <c r="D16">
        <v>-0.95001679396111671</v>
      </c>
      <c r="E16">
        <v>-0.92231743001357314</v>
      </c>
      <c r="F16">
        <v>-0.35039161049348272</v>
      </c>
      <c r="G16">
        <v>0.1043479956700375</v>
      </c>
      <c r="H16">
        <v>1.206967825528747</v>
      </c>
      <c r="I16">
        <v>0</v>
      </c>
      <c r="J16">
        <v>0</v>
      </c>
      <c r="K16">
        <v>1</v>
      </c>
      <c r="L16">
        <v>10</v>
      </c>
      <c r="M16">
        <v>10</v>
      </c>
      <c r="N16">
        <v>1</v>
      </c>
      <c r="O16">
        <v>1</v>
      </c>
      <c r="P16">
        <v>1</v>
      </c>
      <c r="Q16">
        <v>0</v>
      </c>
      <c r="R16">
        <v>0</v>
      </c>
      <c r="S16">
        <v>98.505494505494497</v>
      </c>
      <c r="T16">
        <v>10.087912087911995</v>
      </c>
      <c r="U16">
        <v>10.681318681318601</v>
      </c>
      <c r="V16">
        <v>30.857142857142801</v>
      </c>
      <c r="W16">
        <v>55.978021978021907</v>
      </c>
      <c r="X16">
        <v>94.153846153846104</v>
      </c>
      <c r="Y16">
        <v>0</v>
      </c>
      <c r="Z16">
        <v>0</v>
      </c>
    </row>
    <row r="17" spans="1:26" s="12" customFormat="1" x14ac:dyDescent="0.25">
      <c r="A17" s="12">
        <v>25</v>
      </c>
      <c r="B17" s="12">
        <v>1.5</v>
      </c>
      <c r="C17" s="12">
        <v>0</v>
      </c>
      <c r="D17" s="12">
        <v>-0.26750963699125352</v>
      </c>
      <c r="E17" s="12">
        <v>-5.5316923634942707E-2</v>
      </c>
      <c r="F17" s="12">
        <v>0</v>
      </c>
      <c r="G17" s="12">
        <v>-0.20910908521850771</v>
      </c>
      <c r="H17" s="12">
        <v>0</v>
      </c>
      <c r="I17" s="12">
        <v>-0.61134831389953581</v>
      </c>
      <c r="J17" s="12">
        <v>-1.7026524217189538E-2</v>
      </c>
      <c r="K17" s="12">
        <v>0</v>
      </c>
      <c r="L17" s="12">
        <v>1</v>
      </c>
      <c r="M17" s="12">
        <v>1</v>
      </c>
      <c r="N17" s="12">
        <v>0</v>
      </c>
      <c r="O17" s="12">
        <v>0</v>
      </c>
      <c r="P17" s="12">
        <v>0</v>
      </c>
      <c r="Q17" s="12">
        <v>1</v>
      </c>
      <c r="R17" s="12">
        <v>1</v>
      </c>
      <c r="S17" s="12">
        <v>0</v>
      </c>
      <c r="T17" s="12">
        <v>35.07</v>
      </c>
      <c r="U17" s="12">
        <v>46.82</v>
      </c>
      <c r="V17" s="12">
        <v>0</v>
      </c>
      <c r="W17" s="12">
        <v>38.19</v>
      </c>
      <c r="X17" s="12">
        <v>0</v>
      </c>
      <c r="Y17" s="12">
        <v>19.66</v>
      </c>
      <c r="Z17" s="12">
        <v>49.02</v>
      </c>
    </row>
    <row r="18" spans="1:26" s="7" customFormat="1" x14ac:dyDescent="0.25">
      <c r="A18" s="7">
        <v>25</v>
      </c>
      <c r="B18" s="7">
        <v>2</v>
      </c>
      <c r="C18" s="7">
        <v>0</v>
      </c>
      <c r="D18" s="7">
        <v>0.25573196162710737</v>
      </c>
      <c r="E18" s="7">
        <v>0.54236684047993289</v>
      </c>
      <c r="F18" s="7">
        <v>0</v>
      </c>
      <c r="G18" s="7">
        <v>-3.1804562525097141E-2</v>
      </c>
      <c r="H18" s="7">
        <v>0</v>
      </c>
      <c r="I18" s="7">
        <v>-0.1512553277727009</v>
      </c>
      <c r="J18" s="7">
        <v>0.21796179846852079</v>
      </c>
      <c r="K18" s="7">
        <v>0</v>
      </c>
      <c r="L18" s="12">
        <v>1</v>
      </c>
      <c r="M18" s="12">
        <v>1</v>
      </c>
      <c r="N18" s="7">
        <v>0</v>
      </c>
      <c r="O18" s="7">
        <v>0</v>
      </c>
      <c r="P18" s="7">
        <v>0</v>
      </c>
      <c r="Q18" s="7">
        <v>1</v>
      </c>
      <c r="R18" s="7">
        <v>1</v>
      </c>
      <c r="S18" s="7">
        <v>0</v>
      </c>
      <c r="T18" s="7">
        <v>64.31</v>
      </c>
      <c r="U18" s="7">
        <v>77.709999999999994</v>
      </c>
      <c r="V18" s="7">
        <v>0</v>
      </c>
      <c r="W18" s="7">
        <v>48.17</v>
      </c>
      <c r="X18" s="7">
        <v>0</v>
      </c>
      <c r="Y18" s="7">
        <v>41.38</v>
      </c>
      <c r="Z18" s="7">
        <v>62.29</v>
      </c>
    </row>
    <row r="19" spans="1:26" x14ac:dyDescent="0.25">
      <c r="A19">
        <v>25</v>
      </c>
      <c r="B19">
        <v>2.5</v>
      </c>
      <c r="C19">
        <v>0</v>
      </c>
      <c r="D19">
        <v>0.29563415617744288</v>
      </c>
      <c r="E19">
        <v>0.54866024026583626</v>
      </c>
      <c r="F19">
        <v>0</v>
      </c>
      <c r="G19">
        <v>-3.076090305997338E-2</v>
      </c>
      <c r="H19">
        <v>0</v>
      </c>
      <c r="I19">
        <v>-9.1714900819881665E-2</v>
      </c>
      <c r="J19">
        <v>0.50346445715765153</v>
      </c>
      <c r="K19">
        <v>0</v>
      </c>
      <c r="L19" s="12">
        <v>1</v>
      </c>
      <c r="M19" s="12">
        <v>1</v>
      </c>
      <c r="N19">
        <v>0</v>
      </c>
      <c r="O19" s="7">
        <v>0</v>
      </c>
      <c r="P19">
        <v>0</v>
      </c>
      <c r="Q19">
        <v>1</v>
      </c>
      <c r="R19">
        <v>1</v>
      </c>
      <c r="S19">
        <v>0</v>
      </c>
      <c r="T19">
        <v>66.39</v>
      </c>
      <c r="U19">
        <v>77.959999999999994</v>
      </c>
      <c r="V19">
        <v>0</v>
      </c>
      <c r="W19">
        <v>48.23</v>
      </c>
      <c r="X19">
        <v>0</v>
      </c>
      <c r="Y19">
        <v>44.74</v>
      </c>
      <c r="Z19">
        <v>76.12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workbookViewId="0">
      <selection activeCell="F20" sqref="F20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</row>
    <row r="2" spans="1:20" x14ac:dyDescent="0.25">
      <c r="A2" s="1">
        <v>4.9878531370748496</v>
      </c>
      <c r="B2">
        <v>0.24099999999999999</v>
      </c>
      <c r="C2">
        <v>-1.64</v>
      </c>
      <c r="D2">
        <v>-1.92</v>
      </c>
      <c r="E2">
        <v>-1.81</v>
      </c>
      <c r="F2">
        <v>-1.67</v>
      </c>
      <c r="G2">
        <v>-1.85</v>
      </c>
      <c r="H2">
        <v>-1.74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20" x14ac:dyDescent="0.25">
      <c r="A3" s="1">
        <v>4.9785421780668777</v>
      </c>
      <c r="B3">
        <v>0.52700000000000002</v>
      </c>
      <c r="C3">
        <v>-1.1499999999999999</v>
      </c>
      <c r="D3">
        <v>-1.48</v>
      </c>
      <c r="E3">
        <v>-1.54</v>
      </c>
      <c r="F3">
        <v>-1.62</v>
      </c>
      <c r="G3">
        <v>-1.59</v>
      </c>
      <c r="H3">
        <v>-1.47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</row>
    <row r="4" spans="1:20" x14ac:dyDescent="0.25">
      <c r="A4" s="1">
        <v>4.9294758200052957</v>
      </c>
      <c r="B4">
        <v>0.79600000000000004</v>
      </c>
      <c r="C4">
        <v>-0.46</v>
      </c>
      <c r="D4">
        <v>-1.51</v>
      </c>
      <c r="E4">
        <v>-1.46</v>
      </c>
      <c r="F4">
        <v>-1.55</v>
      </c>
      <c r="G4">
        <v>-1.42</v>
      </c>
      <c r="H4">
        <v>-0.98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20" x14ac:dyDescent="0.25">
      <c r="A5" s="1">
        <v>4.8132193011041764</v>
      </c>
      <c r="B5">
        <v>1.137</v>
      </c>
      <c r="C5">
        <v>0.35</v>
      </c>
      <c r="D5">
        <v>-1.34</v>
      </c>
      <c r="E5">
        <v>-1.44</v>
      </c>
      <c r="F5">
        <v>-1.55</v>
      </c>
      <c r="G5">
        <v>-1.1599999999999999</v>
      </c>
      <c r="H5">
        <v>-0.24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</row>
    <row r="6" spans="1:20" x14ac:dyDescent="0.25">
      <c r="A6" s="1">
        <v>4.751685080492198</v>
      </c>
      <c r="B6">
        <v>1.321</v>
      </c>
      <c r="C6">
        <v>0.87</v>
      </c>
      <c r="D6">
        <v>-1.3</v>
      </c>
      <c r="E6">
        <v>-1.32</v>
      </c>
      <c r="F6">
        <v>-1.1100000000000001</v>
      </c>
      <c r="G6">
        <v>-0.8</v>
      </c>
      <c r="H6">
        <v>0.26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20" x14ac:dyDescent="0.25">
      <c r="A7" s="1">
        <v>4.7231095025915941</v>
      </c>
      <c r="B7">
        <v>1.466</v>
      </c>
      <c r="C7">
        <v>1.2</v>
      </c>
      <c r="D7">
        <v>-1.17</v>
      </c>
      <c r="E7">
        <v>-1.19</v>
      </c>
      <c r="F7">
        <v>-0.85</v>
      </c>
      <c r="G7">
        <v>-0.52</v>
      </c>
      <c r="H7">
        <v>0.61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20" x14ac:dyDescent="0.25">
      <c r="A8" s="1">
        <v>4.7094378121328804</v>
      </c>
      <c r="B8">
        <v>1.524</v>
      </c>
      <c r="C8">
        <v>1.35</v>
      </c>
      <c r="D8">
        <v>-1.02</v>
      </c>
      <c r="E8">
        <v>-1</v>
      </c>
      <c r="F8">
        <v>-0.72</v>
      </c>
      <c r="G8">
        <v>-0.34</v>
      </c>
      <c r="H8">
        <v>0.77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20" x14ac:dyDescent="0.25">
      <c r="A9">
        <v>1.9915790348048139</v>
      </c>
      <c r="B9">
        <v>0.235616438356164</v>
      </c>
      <c r="C9">
        <v>-1.614154798725508</v>
      </c>
      <c r="D9">
        <v>-1.852615520079504</v>
      </c>
      <c r="E9">
        <v>-1.741725335781714</v>
      </c>
      <c r="F9">
        <v>-1.852615520079504</v>
      </c>
      <c r="G9">
        <v>-1.65282239968498</v>
      </c>
      <c r="H9">
        <v>-1.741725335781714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2.3736263736263585</v>
      </c>
      <c r="P9">
        <v>1.3846153846153493</v>
      </c>
      <c r="Q9">
        <v>1.7802197802197592</v>
      </c>
      <c r="R9">
        <v>1.3846153846153493</v>
      </c>
      <c r="S9">
        <v>2.1758241758241397</v>
      </c>
      <c r="T9">
        <v>1.7802197802197592</v>
      </c>
    </row>
    <row r="10" spans="1:20" x14ac:dyDescent="0.25">
      <c r="A10">
        <v>1.980691304582046</v>
      </c>
      <c r="B10">
        <v>0.52876712328767095</v>
      </c>
      <c r="C10">
        <v>-1.1702209576189531</v>
      </c>
      <c r="D10">
        <v>-1.45846503480211</v>
      </c>
      <c r="E10">
        <v>-1.514596939418587</v>
      </c>
      <c r="F10">
        <v>-1.578511869553177</v>
      </c>
      <c r="G10">
        <v>-1.578511869553177</v>
      </c>
      <c r="H10">
        <v>-1.514596939418587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6.329670329670317</v>
      </c>
      <c r="P10">
        <v>3.3626373626373383</v>
      </c>
      <c r="Q10">
        <v>2.9670329670329285</v>
      </c>
      <c r="R10">
        <v>2.571428571428549</v>
      </c>
      <c r="S10">
        <v>2.571428571428549</v>
      </c>
      <c r="T10">
        <v>2.9670329670329285</v>
      </c>
    </row>
    <row r="11" spans="1:20" x14ac:dyDescent="0.25">
      <c r="A11">
        <v>1.9336677366397059</v>
      </c>
      <c r="B11">
        <v>0.80273972602739696</v>
      </c>
      <c r="C11">
        <v>-0.45624494742588528</v>
      </c>
      <c r="D11">
        <v>-1.4856820007195011</v>
      </c>
      <c r="E11">
        <v>-1.45846503480211</v>
      </c>
      <c r="F11">
        <v>-1.545444573179084</v>
      </c>
      <c r="G11">
        <v>-1.4327516043600459</v>
      </c>
      <c r="H11">
        <v>-0.95957134294439284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25.912087912087795</v>
      </c>
      <c r="P11">
        <v>3.1648351648351496</v>
      </c>
      <c r="Q11">
        <v>3.3626373626373383</v>
      </c>
      <c r="R11">
        <v>2.7692307692307394</v>
      </c>
      <c r="S11">
        <v>3.56043956043953</v>
      </c>
      <c r="T11">
        <v>9.8901098901098674</v>
      </c>
    </row>
    <row r="12" spans="1:20" x14ac:dyDescent="0.25">
      <c r="A12">
        <v>1.827040781438199</v>
      </c>
      <c r="B12">
        <v>1.1671232876712301</v>
      </c>
      <c r="C12">
        <v>0.34014801111555087</v>
      </c>
      <c r="D12">
        <v>-1.3631242825001839</v>
      </c>
      <c r="E12">
        <v>-1.4327516043600459</v>
      </c>
      <c r="F12">
        <v>-1.578511869553177</v>
      </c>
      <c r="G12">
        <v>-1.142053948747725</v>
      </c>
      <c r="H12">
        <v>-0.24615343666192119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68.637362637362614</v>
      </c>
      <c r="P12">
        <v>4.1538461538461409</v>
      </c>
      <c r="Q12">
        <v>3.56043956043953</v>
      </c>
      <c r="R12">
        <v>2.571428571428549</v>
      </c>
      <c r="S12">
        <v>6.7252747252746978</v>
      </c>
      <c r="T12">
        <v>36.197802197802098</v>
      </c>
    </row>
    <row r="13" spans="1:20" x14ac:dyDescent="0.25">
      <c r="A13">
        <v>1.7705451871527289</v>
      </c>
      <c r="B13">
        <v>1.4164383561643801</v>
      </c>
      <c r="C13">
        <v>0.84226874999539159</v>
      </c>
      <c r="D13">
        <v>-1.3024351558328691</v>
      </c>
      <c r="E13">
        <v>-1.321819483905311</v>
      </c>
      <c r="F13">
        <v>-1.0900496250895491</v>
      </c>
      <c r="G13">
        <v>-0.79394551756687726</v>
      </c>
      <c r="H13">
        <v>0.25527250510330463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87.428571428571402</v>
      </c>
      <c r="P13">
        <v>4.7472527472527402</v>
      </c>
      <c r="Q13">
        <v>4.5494505494505493</v>
      </c>
      <c r="R13">
        <v>7.5164835164834978</v>
      </c>
      <c r="S13">
        <v>13.846153846153793</v>
      </c>
      <c r="T13">
        <v>64.285714285714207</v>
      </c>
    </row>
    <row r="14" spans="1:20" x14ac:dyDescent="0.25">
      <c r="A14">
        <v>1.7440974190635239</v>
      </c>
      <c r="B14">
        <v>1.61369863013698</v>
      </c>
      <c r="C14">
        <v>1.191603425233924</v>
      </c>
      <c r="D14">
        <v>-1.155938933396812</v>
      </c>
      <c r="E14">
        <v>-1.184925368153227</v>
      </c>
      <c r="F14">
        <v>-0.83880537935058663</v>
      </c>
      <c r="G14">
        <v>-0.51645195951508038</v>
      </c>
      <c r="H14">
        <v>0.59434585455452171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93.956043956043899</v>
      </c>
      <c r="P14">
        <v>6.5274725274725096</v>
      </c>
      <c r="Q14">
        <v>6.1318681318681314</v>
      </c>
      <c r="R14">
        <v>12.659340659340595</v>
      </c>
      <c r="S14">
        <v>23.340659340659293</v>
      </c>
      <c r="T14">
        <v>79.714285714285694</v>
      </c>
    </row>
    <row r="15" spans="1:20" x14ac:dyDescent="0.25">
      <c r="A15">
        <v>1.7322008018720709</v>
      </c>
      <c r="B15">
        <v>1.6958904109588999</v>
      </c>
      <c r="C15">
        <v>1.330693602277621</v>
      </c>
      <c r="D15">
        <v>-0.99958018896498813</v>
      </c>
      <c r="E15">
        <v>-0.99958018896498813</v>
      </c>
      <c r="F15">
        <v>-0.71309653014324781</v>
      </c>
      <c r="G15">
        <v>-0.33837574099736839</v>
      </c>
      <c r="H15">
        <v>0.76199725943106256</v>
      </c>
      <c r="I15">
        <v>1</v>
      </c>
      <c r="J15">
        <v>0</v>
      </c>
      <c r="K15">
        <v>0</v>
      </c>
      <c r="L15">
        <v>1</v>
      </c>
      <c r="M15">
        <v>1</v>
      </c>
      <c r="N15">
        <v>1</v>
      </c>
      <c r="O15">
        <v>95.538461538461505</v>
      </c>
      <c r="P15">
        <v>9.0989010989010772</v>
      </c>
      <c r="Q15">
        <v>9.0989010989010772</v>
      </c>
      <c r="R15">
        <v>16.219780219780201</v>
      </c>
      <c r="S15">
        <v>31.450549450549399</v>
      </c>
      <c r="T15">
        <v>85.252747252747199</v>
      </c>
    </row>
    <row r="16" spans="1:20" x14ac:dyDescent="0.25">
      <c r="A16">
        <v>1.7069872080419219</v>
      </c>
      <c r="B16">
        <v>2.0739726027397198</v>
      </c>
      <c r="C16">
        <v>1.818962939492804</v>
      </c>
      <c r="D16">
        <v>-0.95001679396111671</v>
      </c>
      <c r="E16">
        <v>-0.92231743001357314</v>
      </c>
      <c r="F16">
        <v>-0.35039161049348272</v>
      </c>
      <c r="G16">
        <v>0.1043479956700375</v>
      </c>
      <c r="H16">
        <v>1.206967825528747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98.505494505494497</v>
      </c>
      <c r="P16">
        <v>10.087912087911995</v>
      </c>
      <c r="Q16">
        <v>10.681318681318601</v>
      </c>
      <c r="R16">
        <v>30.857142857142801</v>
      </c>
      <c r="S16">
        <v>55.978021978021907</v>
      </c>
      <c r="T16">
        <v>94.153846153846104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"/>
  <sheetViews>
    <sheetView topLeftCell="D1" zoomScaleNormal="100" workbookViewId="0">
      <selection activeCell="M16" sqref="M1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16</v>
      </c>
      <c r="R1" t="s">
        <v>17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</row>
    <row r="2" spans="1:26" s="7" customFormat="1" x14ac:dyDescent="0.25">
      <c r="A2" s="8">
        <v>4.9878531370748496</v>
      </c>
      <c r="B2" s="7">
        <v>0.24099999999999999</v>
      </c>
      <c r="C2" s="7">
        <v>-1.64</v>
      </c>
      <c r="D2">
        <v>-1.36</v>
      </c>
      <c r="E2" s="7">
        <v>-1.81</v>
      </c>
      <c r="F2" s="7">
        <v>-1.67</v>
      </c>
      <c r="G2" s="7">
        <v>-1.85</v>
      </c>
      <c r="H2" s="7">
        <v>-1.74</v>
      </c>
      <c r="I2" s="7">
        <v>0</v>
      </c>
      <c r="J2" s="7">
        <v>-1.36</v>
      </c>
      <c r="K2" s="7">
        <v>10</v>
      </c>
      <c r="L2" s="7">
        <v>10</v>
      </c>
      <c r="M2">
        <v>10</v>
      </c>
      <c r="N2" s="7">
        <v>0</v>
      </c>
      <c r="O2" s="7">
        <v>10</v>
      </c>
      <c r="P2" s="7">
        <v>1</v>
      </c>
      <c r="Q2" s="7">
        <v>0</v>
      </c>
      <c r="R2" s="7">
        <v>0</v>
      </c>
      <c r="S2" s="7">
        <v>2.2395622457170412</v>
      </c>
      <c r="T2" s="7">
        <v>4.1825819962989419</v>
      </c>
      <c r="U2" s="7">
        <v>2.0932100521339581</v>
      </c>
      <c r="V2" s="7">
        <v>1.3928628341453531</v>
      </c>
      <c r="W2" s="7">
        <v>1.7871795372261761</v>
      </c>
      <c r="X2" s="7">
        <v>1.4909941389328649</v>
      </c>
      <c r="Y2" s="7">
        <v>1.1879817525171541</v>
      </c>
      <c r="Z2" s="7">
        <v>1.5251941583177719</v>
      </c>
    </row>
    <row r="3" spans="1:26" x14ac:dyDescent="0.25">
      <c r="A3" s="5">
        <v>4.9785421780668777</v>
      </c>
      <c r="B3">
        <v>0.52700000000000002</v>
      </c>
      <c r="C3">
        <v>-1.1499999999999999</v>
      </c>
      <c r="D3">
        <v>-1.48</v>
      </c>
      <c r="E3">
        <v>-1.54</v>
      </c>
      <c r="F3">
        <v>-1.62</v>
      </c>
      <c r="G3">
        <v>-1.59</v>
      </c>
      <c r="H3">
        <v>-1.47</v>
      </c>
      <c r="I3">
        <v>-1.53</v>
      </c>
      <c r="J3">
        <v>-1.2</v>
      </c>
      <c r="K3" s="7">
        <v>5</v>
      </c>
      <c r="L3">
        <v>0</v>
      </c>
      <c r="M3">
        <v>10</v>
      </c>
      <c r="N3">
        <v>10</v>
      </c>
      <c r="O3" s="7">
        <v>10</v>
      </c>
      <c r="P3">
        <v>1</v>
      </c>
      <c r="Q3">
        <v>0</v>
      </c>
      <c r="R3">
        <v>0</v>
      </c>
      <c r="S3">
        <v>6.6114061337195604</v>
      </c>
      <c r="T3">
        <v>3.205177802787111</v>
      </c>
      <c r="U3">
        <v>2.803186715169653</v>
      </c>
      <c r="V3">
        <v>2.3426369721582359</v>
      </c>
      <c r="W3">
        <v>2.5059821239382138</v>
      </c>
      <c r="X3">
        <v>3.2773891454587498</v>
      </c>
      <c r="Y3">
        <v>2.866609580241787</v>
      </c>
      <c r="Z3">
        <v>5.9350943102767584</v>
      </c>
    </row>
    <row r="4" spans="1:26" x14ac:dyDescent="0.25">
      <c r="A4" s="5">
        <v>4.9294758200052957</v>
      </c>
      <c r="B4">
        <v>0.79600000000000004</v>
      </c>
      <c r="C4">
        <v>-0.46</v>
      </c>
      <c r="D4">
        <v>-1.51</v>
      </c>
      <c r="E4">
        <v>-1.46</v>
      </c>
      <c r="F4">
        <v>-1.55</v>
      </c>
      <c r="G4">
        <v>-1.42</v>
      </c>
      <c r="H4">
        <v>-0.98</v>
      </c>
      <c r="I4">
        <v>-1.53</v>
      </c>
      <c r="J4">
        <v>-1.46</v>
      </c>
      <c r="K4" s="7">
        <v>5</v>
      </c>
      <c r="L4">
        <v>0</v>
      </c>
      <c r="M4">
        <v>10</v>
      </c>
      <c r="N4">
        <v>10</v>
      </c>
      <c r="O4" s="7">
        <v>10</v>
      </c>
      <c r="P4">
        <v>1</v>
      </c>
      <c r="Q4">
        <v>5</v>
      </c>
      <c r="R4">
        <v>5</v>
      </c>
      <c r="S4">
        <v>25.746444105693019</v>
      </c>
      <c r="T4">
        <v>2.9976589159516012</v>
      </c>
      <c r="U4">
        <v>3.351171054837125</v>
      </c>
      <c r="V4">
        <v>2.7411274627306499</v>
      </c>
      <c r="W4">
        <v>3.6626441176046929</v>
      </c>
      <c r="X4">
        <v>9.4787395973196098</v>
      </c>
      <c r="Y4">
        <v>2.866609580241787</v>
      </c>
      <c r="Z4">
        <v>3.3511710548371201</v>
      </c>
    </row>
    <row r="5" spans="1:26" s="10" customFormat="1" x14ac:dyDescent="0.25">
      <c r="A5" s="9">
        <v>4.8132193011041764</v>
      </c>
      <c r="B5" s="10">
        <v>1.137</v>
      </c>
      <c r="C5" s="10">
        <v>0.35</v>
      </c>
      <c r="D5">
        <v>-1.34</v>
      </c>
      <c r="E5" s="10">
        <v>-1.44</v>
      </c>
      <c r="F5" s="10">
        <v>-1.55</v>
      </c>
      <c r="G5" s="10">
        <v>-1.1599999999999999</v>
      </c>
      <c r="H5" s="10">
        <v>-0.24</v>
      </c>
      <c r="I5" s="10">
        <v>-1.53</v>
      </c>
      <c r="J5" s="10">
        <v>-1.44</v>
      </c>
      <c r="K5" s="7">
        <v>5</v>
      </c>
      <c r="L5" s="10">
        <v>10</v>
      </c>
      <c r="M5">
        <v>10</v>
      </c>
      <c r="N5" s="10">
        <v>0</v>
      </c>
      <c r="O5" s="10">
        <v>0</v>
      </c>
      <c r="P5" s="10">
        <v>1</v>
      </c>
      <c r="Q5" s="10">
        <v>0</v>
      </c>
      <c r="R5" s="10">
        <v>5</v>
      </c>
      <c r="S5" s="10">
        <v>69.123615241476301</v>
      </c>
      <c r="T5" s="10">
        <v>4.3710847735683966</v>
      </c>
      <c r="U5" s="10">
        <v>3.5035734831986272</v>
      </c>
      <c r="V5" s="10">
        <v>2.7411274627306499</v>
      </c>
      <c r="W5" s="10">
        <v>6.4706500953921759</v>
      </c>
      <c r="X5" s="10">
        <v>36.525666494768323</v>
      </c>
      <c r="Y5" s="10">
        <v>2.866609580241787</v>
      </c>
      <c r="Z5" s="10">
        <v>6.7550028996576179</v>
      </c>
    </row>
    <row r="6" spans="1:26" x14ac:dyDescent="0.25">
      <c r="A6" s="5">
        <v>4.751685080492198</v>
      </c>
      <c r="B6">
        <v>1.321</v>
      </c>
      <c r="C6">
        <v>0.87</v>
      </c>
      <c r="D6">
        <v>-1.3</v>
      </c>
      <c r="E6">
        <v>-1.32</v>
      </c>
      <c r="F6">
        <v>-1.1100000000000001</v>
      </c>
      <c r="G6">
        <v>-0.8</v>
      </c>
      <c r="H6">
        <v>0.26</v>
      </c>
      <c r="I6">
        <v>-1.22</v>
      </c>
      <c r="J6">
        <v>-1.32</v>
      </c>
      <c r="K6" s="7">
        <v>5</v>
      </c>
      <c r="L6" s="10">
        <v>10</v>
      </c>
      <c r="M6">
        <v>10</v>
      </c>
      <c r="N6">
        <v>10</v>
      </c>
      <c r="O6">
        <v>10</v>
      </c>
      <c r="P6">
        <v>1</v>
      </c>
      <c r="Q6">
        <v>5</v>
      </c>
      <c r="R6">
        <v>0</v>
      </c>
      <c r="S6">
        <v>88.113778355369817</v>
      </c>
      <c r="T6">
        <v>4.7726721034203887</v>
      </c>
      <c r="U6">
        <v>4.5676781039662373</v>
      </c>
      <c r="V6">
        <v>7.2033158503842589</v>
      </c>
      <c r="W6">
        <v>13.680688860321</v>
      </c>
      <c r="X6">
        <v>64.535245043938247</v>
      </c>
      <c r="Y6">
        <v>5.6831520840097216</v>
      </c>
      <c r="Z6">
        <v>4.1825819962989419</v>
      </c>
    </row>
    <row r="7" spans="1:26" x14ac:dyDescent="0.25">
      <c r="A7" s="5">
        <v>4.7231095025915941</v>
      </c>
      <c r="B7">
        <v>1.466</v>
      </c>
      <c r="C7">
        <v>1.2</v>
      </c>
      <c r="D7">
        <v>-1.17</v>
      </c>
      <c r="E7">
        <v>-1.19</v>
      </c>
      <c r="F7">
        <v>-0.85</v>
      </c>
      <c r="G7">
        <v>-0.52</v>
      </c>
      <c r="H7">
        <v>0.61</v>
      </c>
      <c r="I7">
        <v>-1.22</v>
      </c>
      <c r="J7">
        <v>-1.19</v>
      </c>
      <c r="K7" s="7">
        <v>5</v>
      </c>
      <c r="L7" s="10">
        <v>10</v>
      </c>
      <c r="M7">
        <v>10</v>
      </c>
      <c r="N7">
        <v>10</v>
      </c>
      <c r="O7">
        <v>10</v>
      </c>
      <c r="P7">
        <v>1</v>
      </c>
      <c r="Q7">
        <v>0</v>
      </c>
      <c r="R7">
        <v>5</v>
      </c>
      <c r="S7">
        <v>94.064905689723247</v>
      </c>
      <c r="T7">
        <v>6.3326875310947912</v>
      </c>
      <c r="U7">
        <v>6.0649558509397794</v>
      </c>
      <c r="V7">
        <v>12.377068106893541</v>
      </c>
      <c r="W7">
        <v>23.194799683241602</v>
      </c>
      <c r="X7">
        <v>80.290917015381595</v>
      </c>
      <c r="Y7">
        <v>5.6831520840097216</v>
      </c>
      <c r="Z7">
        <v>10.08826283567233</v>
      </c>
    </row>
    <row r="8" spans="1:26" x14ac:dyDescent="0.25">
      <c r="A8" s="5">
        <v>4.7094378121328804</v>
      </c>
      <c r="B8">
        <v>1.524</v>
      </c>
      <c r="C8">
        <v>1.35</v>
      </c>
      <c r="D8">
        <v>-1.02</v>
      </c>
      <c r="E8">
        <v>-1</v>
      </c>
      <c r="F8">
        <v>-0.72</v>
      </c>
      <c r="G8">
        <v>-0.34</v>
      </c>
      <c r="H8">
        <v>0.77</v>
      </c>
      <c r="I8">
        <v>0.89</v>
      </c>
      <c r="J8">
        <v>-1</v>
      </c>
      <c r="K8" s="7">
        <v>5</v>
      </c>
      <c r="L8" s="10">
        <v>10</v>
      </c>
      <c r="M8">
        <v>0</v>
      </c>
      <c r="N8">
        <v>10</v>
      </c>
      <c r="O8">
        <v>10</v>
      </c>
      <c r="P8">
        <v>1</v>
      </c>
      <c r="Q8">
        <v>0</v>
      </c>
      <c r="R8">
        <v>5</v>
      </c>
      <c r="S8">
        <v>95.724158885346398</v>
      </c>
      <c r="T8">
        <v>8.7174188254586831</v>
      </c>
      <c r="U8">
        <v>9.0909090909090917</v>
      </c>
      <c r="V8">
        <v>16.00493053652465</v>
      </c>
      <c r="W8">
        <v>31.369974231668749</v>
      </c>
      <c r="X8">
        <v>85.482917753175954</v>
      </c>
      <c r="Y8">
        <v>11.41230574141505</v>
      </c>
      <c r="Z8">
        <v>11.647171194356069</v>
      </c>
    </row>
    <row r="9" spans="1:26" s="7" customFormat="1" x14ac:dyDescent="0.25">
      <c r="A9" s="8">
        <v>1.9915790348048139</v>
      </c>
      <c r="B9" s="7">
        <v>0.235616438356164</v>
      </c>
      <c r="C9" s="7">
        <v>-1.614154798725508</v>
      </c>
      <c r="D9" s="7">
        <v>-1.852615520079504</v>
      </c>
      <c r="E9" s="7">
        <v>-1.741725335781714</v>
      </c>
      <c r="F9" s="7">
        <v>-1.852615520079504</v>
      </c>
      <c r="G9" s="7">
        <v>-1.65282239968498</v>
      </c>
      <c r="H9" s="7">
        <v>-1.741725335781714</v>
      </c>
      <c r="I9" s="7">
        <v>0</v>
      </c>
      <c r="J9" s="7">
        <v>0</v>
      </c>
      <c r="K9" s="7">
        <v>0</v>
      </c>
      <c r="L9" s="10">
        <v>10</v>
      </c>
      <c r="M9" s="7">
        <v>10</v>
      </c>
      <c r="N9">
        <v>10</v>
      </c>
      <c r="O9" s="7">
        <v>0</v>
      </c>
      <c r="P9" s="7">
        <v>0</v>
      </c>
      <c r="Q9" s="7">
        <v>0</v>
      </c>
      <c r="R9" s="7">
        <v>0</v>
      </c>
      <c r="S9" s="7">
        <v>2.3736263736263585</v>
      </c>
      <c r="T9" s="7">
        <v>1.3846153846153493</v>
      </c>
      <c r="U9" s="7">
        <v>1.7802197802197592</v>
      </c>
      <c r="V9" s="7">
        <v>1.3846153846153493</v>
      </c>
      <c r="W9" s="7">
        <v>2.1758241758241397</v>
      </c>
      <c r="X9" s="7">
        <v>1.7802197802197592</v>
      </c>
      <c r="Y9" s="7">
        <v>0</v>
      </c>
      <c r="Z9" s="7">
        <v>0</v>
      </c>
    </row>
    <row r="10" spans="1:26" x14ac:dyDescent="0.25">
      <c r="A10" s="5">
        <v>1.980691304582046</v>
      </c>
      <c r="B10">
        <v>0.52876712328767095</v>
      </c>
      <c r="C10">
        <v>-1.1702209576189531</v>
      </c>
      <c r="D10">
        <v>-1.45846503480211</v>
      </c>
      <c r="E10">
        <v>-1.514596939418587</v>
      </c>
      <c r="F10">
        <v>-1.578511869553177</v>
      </c>
      <c r="G10">
        <v>-1.578511869553177</v>
      </c>
      <c r="H10">
        <v>-1.514596939418587</v>
      </c>
      <c r="I10">
        <v>0</v>
      </c>
      <c r="J10">
        <v>0</v>
      </c>
      <c r="K10">
        <v>5</v>
      </c>
      <c r="L10" s="10">
        <v>10</v>
      </c>
      <c r="M10" s="7">
        <v>10</v>
      </c>
      <c r="N10">
        <v>10</v>
      </c>
      <c r="O10">
        <v>10</v>
      </c>
      <c r="P10">
        <v>1</v>
      </c>
      <c r="Q10">
        <v>0</v>
      </c>
      <c r="R10">
        <v>0</v>
      </c>
      <c r="S10">
        <v>6.329670329670317</v>
      </c>
      <c r="T10">
        <v>3.3626373626373383</v>
      </c>
      <c r="U10">
        <v>2.9670329670329285</v>
      </c>
      <c r="V10">
        <v>2.571428571428549</v>
      </c>
      <c r="W10">
        <v>2.571428571428549</v>
      </c>
      <c r="X10">
        <v>2.9670329670329285</v>
      </c>
      <c r="Y10">
        <v>0</v>
      </c>
      <c r="Z10">
        <v>0</v>
      </c>
    </row>
    <row r="11" spans="1:26" x14ac:dyDescent="0.25">
      <c r="A11" s="5">
        <v>1.9336677366397059</v>
      </c>
      <c r="B11">
        <v>0.80273972602739696</v>
      </c>
      <c r="C11">
        <v>-0.45624494742588528</v>
      </c>
      <c r="D11">
        <v>-1.4856820007195011</v>
      </c>
      <c r="E11">
        <v>-1.45846503480211</v>
      </c>
      <c r="F11">
        <v>-1.545444573179084</v>
      </c>
      <c r="G11">
        <v>-1.4327516043600459</v>
      </c>
      <c r="H11">
        <v>-0.95957134294439284</v>
      </c>
      <c r="I11">
        <v>0</v>
      </c>
      <c r="J11">
        <v>0</v>
      </c>
      <c r="K11">
        <v>5</v>
      </c>
      <c r="L11">
        <v>0</v>
      </c>
      <c r="M11" s="7">
        <v>10</v>
      </c>
      <c r="N11">
        <v>10</v>
      </c>
      <c r="O11">
        <v>10</v>
      </c>
      <c r="P11">
        <v>1</v>
      </c>
      <c r="Q11">
        <v>0</v>
      </c>
      <c r="R11">
        <v>0</v>
      </c>
      <c r="S11">
        <v>25.912087912087799</v>
      </c>
      <c r="T11" s="11">
        <v>3.1648351648351496</v>
      </c>
      <c r="U11">
        <v>3.3626373626373383</v>
      </c>
      <c r="V11">
        <v>2.7692307692307394</v>
      </c>
      <c r="W11">
        <v>3.56043956043953</v>
      </c>
      <c r="X11">
        <v>9.8901098901098674</v>
      </c>
      <c r="Y11">
        <v>0</v>
      </c>
      <c r="Z11">
        <v>0</v>
      </c>
    </row>
    <row r="12" spans="1:26" s="10" customFormat="1" x14ac:dyDescent="0.25">
      <c r="A12" s="9">
        <v>1.827040781438199</v>
      </c>
      <c r="B12" s="10">
        <v>1.1671232876712301</v>
      </c>
      <c r="C12" s="10">
        <v>0.34014801111555087</v>
      </c>
      <c r="D12" s="10">
        <v>-1.3631242825001839</v>
      </c>
      <c r="E12" s="10">
        <v>-1.4327516043600459</v>
      </c>
      <c r="F12" s="10">
        <v>-1.578511869553177</v>
      </c>
      <c r="G12" s="10">
        <v>-1.142053948747725</v>
      </c>
      <c r="H12" s="10">
        <v>-0.24615343666192119</v>
      </c>
      <c r="I12" s="10">
        <v>0</v>
      </c>
      <c r="J12" s="10">
        <v>0</v>
      </c>
      <c r="K12">
        <v>5</v>
      </c>
      <c r="L12" s="10">
        <v>0</v>
      </c>
      <c r="M12" s="10">
        <v>0</v>
      </c>
      <c r="N12" s="10">
        <v>0</v>
      </c>
      <c r="O12">
        <v>0</v>
      </c>
      <c r="P12" s="10">
        <v>0</v>
      </c>
      <c r="Q12" s="10">
        <v>0</v>
      </c>
      <c r="R12" s="10">
        <v>0</v>
      </c>
      <c r="S12" s="10">
        <v>68.637362637362614</v>
      </c>
      <c r="T12" s="10">
        <v>4.1538461538461409</v>
      </c>
      <c r="U12" s="10">
        <v>3.56043956043953</v>
      </c>
      <c r="V12" s="10">
        <v>2.571428571428549</v>
      </c>
      <c r="W12" s="10">
        <v>6.7252747252746978</v>
      </c>
      <c r="X12" s="10">
        <v>36.197802197802098</v>
      </c>
      <c r="Y12" s="10">
        <v>0</v>
      </c>
      <c r="Z12" s="10">
        <v>0</v>
      </c>
    </row>
    <row r="13" spans="1:26" x14ac:dyDescent="0.25">
      <c r="A13" s="5">
        <v>1.7705451871527289</v>
      </c>
      <c r="B13">
        <v>1.4164383561643801</v>
      </c>
      <c r="C13">
        <v>0.84226874999539159</v>
      </c>
      <c r="D13">
        <v>-1.3024351558328691</v>
      </c>
      <c r="E13">
        <v>-1.321819483905311</v>
      </c>
      <c r="F13">
        <v>-1.0900496250895491</v>
      </c>
      <c r="G13">
        <v>-0.79394551756687726</v>
      </c>
      <c r="H13">
        <v>0.25527250510330463</v>
      </c>
      <c r="I13">
        <v>0</v>
      </c>
      <c r="J13">
        <v>0</v>
      </c>
      <c r="K13">
        <v>5</v>
      </c>
      <c r="L13">
        <v>10</v>
      </c>
      <c r="M13">
        <v>10</v>
      </c>
      <c r="N13">
        <v>10</v>
      </c>
      <c r="O13">
        <v>5</v>
      </c>
      <c r="P13">
        <v>1</v>
      </c>
      <c r="Q13">
        <v>0</v>
      </c>
      <c r="R13">
        <v>0</v>
      </c>
      <c r="S13">
        <v>87.428571428571402</v>
      </c>
      <c r="T13">
        <v>4.7472527472527402</v>
      </c>
      <c r="U13">
        <v>4.5494505494505493</v>
      </c>
      <c r="V13">
        <v>7.5164835164834978</v>
      </c>
      <c r="W13">
        <v>13.846153846153793</v>
      </c>
      <c r="X13">
        <v>64.285714285714207</v>
      </c>
      <c r="Y13">
        <v>0</v>
      </c>
      <c r="Z13">
        <v>0</v>
      </c>
    </row>
    <row r="14" spans="1:26" x14ac:dyDescent="0.25">
      <c r="A14" s="5">
        <v>1.7440974190635239</v>
      </c>
      <c r="B14">
        <v>1.61369863013698</v>
      </c>
      <c r="C14">
        <v>1.191603425233924</v>
      </c>
      <c r="D14">
        <v>-1.155938933396812</v>
      </c>
      <c r="E14">
        <v>-1.184925368153227</v>
      </c>
      <c r="F14">
        <v>-0.83880537935058663</v>
      </c>
      <c r="G14">
        <v>-0.51645195951508038</v>
      </c>
      <c r="H14">
        <v>0.59434585455452171</v>
      </c>
      <c r="I14">
        <v>0</v>
      </c>
      <c r="J14">
        <v>0</v>
      </c>
      <c r="K14">
        <v>5</v>
      </c>
      <c r="L14">
        <v>10</v>
      </c>
      <c r="M14">
        <v>10</v>
      </c>
      <c r="N14">
        <v>10</v>
      </c>
      <c r="O14">
        <v>5</v>
      </c>
      <c r="P14">
        <v>1</v>
      </c>
      <c r="Q14">
        <v>0</v>
      </c>
      <c r="R14">
        <v>0</v>
      </c>
      <c r="S14">
        <v>93.956043956043899</v>
      </c>
      <c r="T14">
        <v>6.5274725274725096</v>
      </c>
      <c r="U14">
        <v>6.1318681318681314</v>
      </c>
      <c r="V14">
        <v>12.659340659340595</v>
      </c>
      <c r="W14">
        <v>23.340659340659293</v>
      </c>
      <c r="X14">
        <v>79.714285714285694</v>
      </c>
      <c r="Y14">
        <v>0</v>
      </c>
      <c r="Z14">
        <v>0</v>
      </c>
    </row>
    <row r="15" spans="1:26" x14ac:dyDescent="0.25">
      <c r="A15" s="5">
        <v>1.7322008018720709</v>
      </c>
      <c r="B15">
        <v>1.6958904109588999</v>
      </c>
      <c r="C15">
        <v>1.330693602277621</v>
      </c>
      <c r="D15">
        <v>-0.99958018896498813</v>
      </c>
      <c r="E15">
        <v>-0.99958018896498813</v>
      </c>
      <c r="F15">
        <v>-0.71309653014324781</v>
      </c>
      <c r="G15">
        <v>-0.33837574099736839</v>
      </c>
      <c r="H15">
        <v>0.76199725943106256</v>
      </c>
      <c r="I15">
        <v>0</v>
      </c>
      <c r="J15">
        <v>0</v>
      </c>
      <c r="K15">
        <v>5</v>
      </c>
      <c r="L15">
        <v>0</v>
      </c>
      <c r="M15">
        <v>0</v>
      </c>
      <c r="N15">
        <v>10</v>
      </c>
      <c r="O15">
        <v>5</v>
      </c>
      <c r="P15">
        <v>1</v>
      </c>
      <c r="Q15">
        <v>0</v>
      </c>
      <c r="R15">
        <v>0</v>
      </c>
      <c r="S15">
        <v>95.538461538461505</v>
      </c>
      <c r="T15">
        <v>9.0989010989010772</v>
      </c>
      <c r="U15">
        <v>9.0989010989010772</v>
      </c>
      <c r="V15">
        <v>16.219780219780201</v>
      </c>
      <c r="W15">
        <v>31.450549450549399</v>
      </c>
      <c r="X15">
        <v>85.252747252747199</v>
      </c>
      <c r="Y15">
        <v>0</v>
      </c>
      <c r="Z15">
        <v>0</v>
      </c>
    </row>
    <row r="16" spans="1:26" x14ac:dyDescent="0.25">
      <c r="A16" s="5">
        <v>1.7069872080419219</v>
      </c>
      <c r="B16">
        <v>2.0739726027397198</v>
      </c>
      <c r="C16">
        <v>1.818962939492804</v>
      </c>
      <c r="D16">
        <v>-0.95001679396111671</v>
      </c>
      <c r="E16">
        <v>-0.92231743001357314</v>
      </c>
      <c r="F16">
        <v>-0.35039161049348272</v>
      </c>
      <c r="G16">
        <v>0.1043479956700375</v>
      </c>
      <c r="H16">
        <v>1.206967825528747</v>
      </c>
      <c r="I16">
        <v>0</v>
      </c>
      <c r="J16">
        <v>0</v>
      </c>
      <c r="K16">
        <v>5</v>
      </c>
      <c r="L16">
        <v>10</v>
      </c>
      <c r="M16">
        <v>10</v>
      </c>
      <c r="N16">
        <v>10</v>
      </c>
      <c r="O16">
        <v>5</v>
      </c>
      <c r="P16">
        <v>1</v>
      </c>
      <c r="Q16">
        <v>0</v>
      </c>
      <c r="R16">
        <v>0</v>
      </c>
      <c r="S16">
        <v>98.505494505494497</v>
      </c>
      <c r="T16">
        <v>10.087912087911995</v>
      </c>
      <c r="U16">
        <v>10.681318681318601</v>
      </c>
      <c r="V16">
        <v>30.857142857142801</v>
      </c>
      <c r="W16">
        <v>55.978021978021907</v>
      </c>
      <c r="X16">
        <v>94.153846153846104</v>
      </c>
      <c r="Y16">
        <v>0</v>
      </c>
      <c r="Z16">
        <v>0</v>
      </c>
    </row>
    <row r="17" spans="1:26" x14ac:dyDescent="0.25">
      <c r="A17">
        <v>25</v>
      </c>
      <c r="B17">
        <v>1.5</v>
      </c>
      <c r="C17">
        <v>0</v>
      </c>
      <c r="D17">
        <v>-0.26750963699125352</v>
      </c>
      <c r="E17">
        <v>-5.5316923634942707E-2</v>
      </c>
      <c r="F17">
        <v>0</v>
      </c>
      <c r="G17">
        <v>-0.20910908521850771</v>
      </c>
      <c r="H17">
        <v>0</v>
      </c>
      <c r="I17">
        <v>-0.61134831389953581</v>
      </c>
      <c r="J17">
        <v>-1.7026524217189538E-2</v>
      </c>
      <c r="K17">
        <v>0</v>
      </c>
      <c r="L17">
        <v>5</v>
      </c>
      <c r="M17">
        <v>5</v>
      </c>
      <c r="N17">
        <v>0</v>
      </c>
      <c r="O17" s="7">
        <v>0</v>
      </c>
      <c r="P17">
        <v>0</v>
      </c>
      <c r="Q17">
        <v>5</v>
      </c>
      <c r="R17">
        <v>5</v>
      </c>
      <c r="S17">
        <v>0</v>
      </c>
      <c r="T17">
        <v>35.07</v>
      </c>
      <c r="U17">
        <v>46.82</v>
      </c>
      <c r="V17">
        <v>0</v>
      </c>
      <c r="W17">
        <v>38.19</v>
      </c>
      <c r="X17">
        <v>0</v>
      </c>
      <c r="Y17">
        <v>19.66</v>
      </c>
      <c r="Z17">
        <v>49.02</v>
      </c>
    </row>
    <row r="18" spans="1:26" s="7" customFormat="1" x14ac:dyDescent="0.25">
      <c r="A18" s="7">
        <v>25</v>
      </c>
      <c r="B18" s="7">
        <v>2</v>
      </c>
      <c r="C18" s="7">
        <v>0</v>
      </c>
      <c r="D18" s="7">
        <v>0.25573196162710737</v>
      </c>
      <c r="E18" s="7">
        <v>0.54236684047993289</v>
      </c>
      <c r="F18" s="7">
        <v>0</v>
      </c>
      <c r="G18" s="7">
        <v>-3.1804562525097141E-2</v>
      </c>
      <c r="H18" s="7">
        <v>0</v>
      </c>
      <c r="I18" s="7">
        <v>-0.1512553277727009</v>
      </c>
      <c r="J18" s="7">
        <v>0.21796179846852079</v>
      </c>
      <c r="K18" s="7">
        <v>0</v>
      </c>
      <c r="L18">
        <v>5</v>
      </c>
      <c r="M18">
        <v>5</v>
      </c>
      <c r="N18" s="7">
        <v>0</v>
      </c>
      <c r="O18" s="7">
        <v>0</v>
      </c>
      <c r="P18" s="7">
        <v>0</v>
      </c>
      <c r="Q18">
        <v>5</v>
      </c>
      <c r="R18">
        <v>5</v>
      </c>
      <c r="S18" s="7">
        <v>0</v>
      </c>
      <c r="T18" s="7">
        <v>64.31</v>
      </c>
      <c r="U18" s="7">
        <v>77.709999999999994</v>
      </c>
      <c r="V18" s="7">
        <v>0</v>
      </c>
      <c r="W18" s="7">
        <v>48.17</v>
      </c>
      <c r="X18" s="7">
        <v>0</v>
      </c>
      <c r="Y18" s="7">
        <v>41.38</v>
      </c>
      <c r="Z18" s="7">
        <v>62.29</v>
      </c>
    </row>
    <row r="19" spans="1:26" x14ac:dyDescent="0.25">
      <c r="A19">
        <v>25</v>
      </c>
      <c r="B19">
        <v>2.5</v>
      </c>
      <c r="C19">
        <v>0</v>
      </c>
      <c r="D19">
        <v>0.29563415617744288</v>
      </c>
      <c r="E19">
        <v>0.54866024026583626</v>
      </c>
      <c r="F19">
        <v>0</v>
      </c>
      <c r="G19">
        <v>-3.076090305997338E-2</v>
      </c>
      <c r="H19">
        <v>0</v>
      </c>
      <c r="I19">
        <v>-9.1714900819881665E-2</v>
      </c>
      <c r="J19">
        <v>0.50346445715765153</v>
      </c>
      <c r="K19">
        <v>0</v>
      </c>
      <c r="L19">
        <v>5</v>
      </c>
      <c r="M19">
        <v>0</v>
      </c>
      <c r="N19">
        <v>0</v>
      </c>
      <c r="O19" s="7">
        <v>0</v>
      </c>
      <c r="P19">
        <v>0</v>
      </c>
      <c r="Q19">
        <v>5</v>
      </c>
      <c r="R19">
        <v>5</v>
      </c>
      <c r="S19">
        <v>0</v>
      </c>
      <c r="T19">
        <v>66.39</v>
      </c>
      <c r="U19">
        <v>77.959999999999994</v>
      </c>
      <c r="V19">
        <v>0</v>
      </c>
      <c r="W19">
        <v>48.23</v>
      </c>
      <c r="X19">
        <v>0</v>
      </c>
      <c r="Y19">
        <v>44.74</v>
      </c>
      <c r="Z19">
        <v>76.12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"/>
  <sheetViews>
    <sheetView workbookViewId="0">
      <selection activeCell="H24" sqref="H24"/>
    </sheetView>
  </sheetViews>
  <sheetFormatPr defaultRowHeight="15" x14ac:dyDescent="0.25"/>
  <cols>
    <col min="2" max="2" width="12.85546875" bestFit="1" customWidth="1"/>
  </cols>
  <sheetData>
    <row r="1" spans="1:18" x14ac:dyDescent="0.25">
      <c r="A1" t="s">
        <v>0</v>
      </c>
      <c r="B1" t="s">
        <v>18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16</v>
      </c>
      <c r="R1" t="s">
        <v>17</v>
      </c>
    </row>
    <row r="2" spans="1:18" x14ac:dyDescent="0.25">
      <c r="A2" s="5">
        <v>4.9878531370748496</v>
      </c>
      <c r="B2">
        <v>0.57411646220732748</v>
      </c>
      <c r="C2">
        <v>-1.64</v>
      </c>
      <c r="D2">
        <v>-1.92</v>
      </c>
      <c r="E2">
        <v>-1.81</v>
      </c>
      <c r="F2">
        <v>-1.67</v>
      </c>
      <c r="G2">
        <v>-1.85</v>
      </c>
      <c r="H2">
        <v>-1.74</v>
      </c>
      <c r="I2">
        <v>0</v>
      </c>
      <c r="J2">
        <v>-1.36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0</v>
      </c>
      <c r="R2">
        <v>0</v>
      </c>
    </row>
    <row r="3" spans="1:18" x14ac:dyDescent="0.25">
      <c r="A3" s="5">
        <v>4.9785421780668777</v>
      </c>
      <c r="B3">
        <v>0.29716660317380261</v>
      </c>
      <c r="C3">
        <v>-1.1499999999999999</v>
      </c>
      <c r="D3">
        <v>-1.48</v>
      </c>
      <c r="E3">
        <v>-1.54</v>
      </c>
      <c r="F3">
        <v>-1.62</v>
      </c>
      <c r="G3">
        <v>-1.59</v>
      </c>
      <c r="H3">
        <v>-1.47</v>
      </c>
      <c r="I3">
        <v>-1.53</v>
      </c>
      <c r="J3">
        <v>-1.2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</row>
    <row r="4" spans="1:18" x14ac:dyDescent="0.25">
      <c r="A4" s="5">
        <v>4.9294758200052957</v>
      </c>
      <c r="B4">
        <v>0.15995580286146691</v>
      </c>
      <c r="C4">
        <v>-0.46</v>
      </c>
      <c r="D4">
        <v>-1.51</v>
      </c>
      <c r="E4">
        <v>-1.46</v>
      </c>
      <c r="F4">
        <v>-1.55</v>
      </c>
      <c r="G4">
        <v>-1.42</v>
      </c>
      <c r="H4">
        <v>-0.98</v>
      </c>
      <c r="I4">
        <v>-1.53</v>
      </c>
      <c r="J4">
        <v>-1.46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 x14ac:dyDescent="0.25">
      <c r="A5" s="5">
        <v>4.8132193011041764</v>
      </c>
      <c r="B5">
        <v>7.2945751025456848E-2</v>
      </c>
      <c r="C5">
        <v>0.35</v>
      </c>
      <c r="D5">
        <v>-1.34</v>
      </c>
      <c r="E5">
        <v>-1.44</v>
      </c>
      <c r="F5">
        <v>-1.55</v>
      </c>
      <c r="G5">
        <v>-1.1599999999999999</v>
      </c>
      <c r="H5">
        <v>-0.24</v>
      </c>
      <c r="I5">
        <v>-1.53</v>
      </c>
      <c r="J5">
        <v>-1.44</v>
      </c>
      <c r="K5">
        <v>1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1</v>
      </c>
    </row>
    <row r="6" spans="1:18" x14ac:dyDescent="0.25">
      <c r="A6" s="5">
        <v>4.751685080492198</v>
      </c>
      <c r="B6">
        <v>4.7752927365769082E-2</v>
      </c>
      <c r="C6">
        <v>0.87</v>
      </c>
      <c r="D6">
        <v>-1.3</v>
      </c>
      <c r="E6">
        <v>-1.32</v>
      </c>
      <c r="F6">
        <v>-1.1100000000000001</v>
      </c>
      <c r="G6">
        <v>-0.8</v>
      </c>
      <c r="H6">
        <v>0.26</v>
      </c>
      <c r="I6">
        <v>-1.22</v>
      </c>
      <c r="J6">
        <v>-1.32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 x14ac:dyDescent="0.25">
      <c r="A7" s="5">
        <v>4.7231095025915941</v>
      </c>
      <c r="B7">
        <v>3.4197944251370883E-2</v>
      </c>
      <c r="C7">
        <v>1.2</v>
      </c>
      <c r="D7">
        <v>-1.17</v>
      </c>
      <c r="E7">
        <v>-1.19</v>
      </c>
      <c r="F7">
        <v>-0.85</v>
      </c>
      <c r="G7">
        <v>-0.52</v>
      </c>
      <c r="H7">
        <v>0.61</v>
      </c>
      <c r="I7">
        <v>-1.22</v>
      </c>
      <c r="J7">
        <v>-1.19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</row>
    <row r="8" spans="1:18" x14ac:dyDescent="0.25">
      <c r="A8" s="5">
        <v>4.7094378121328804</v>
      </c>
      <c r="B8">
        <v>2.9922646366081881E-2</v>
      </c>
      <c r="C8">
        <v>1.35</v>
      </c>
      <c r="D8">
        <v>-1.02</v>
      </c>
      <c r="E8">
        <v>-1</v>
      </c>
      <c r="F8">
        <v>-0.72</v>
      </c>
      <c r="G8">
        <v>-0.34</v>
      </c>
      <c r="H8">
        <v>0.77</v>
      </c>
      <c r="I8">
        <v>0.89</v>
      </c>
      <c r="J8">
        <v>-1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0</v>
      </c>
      <c r="R8">
        <v>1</v>
      </c>
    </row>
    <row r="9" spans="1:18" x14ac:dyDescent="0.25">
      <c r="A9" s="5">
        <v>1.9915790348048139</v>
      </c>
      <c r="B9">
        <v>0.5812775655381871</v>
      </c>
      <c r="C9">
        <v>-1.614154798725508</v>
      </c>
      <c r="D9">
        <v>-1.852615520079504</v>
      </c>
      <c r="E9">
        <v>-1.741725335781714</v>
      </c>
      <c r="F9">
        <v>-1.852615520079504</v>
      </c>
      <c r="G9">
        <v>-1.65282239968498</v>
      </c>
      <c r="H9">
        <v>-1.741725335781714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0</v>
      </c>
      <c r="R9">
        <v>0</v>
      </c>
    </row>
    <row r="10" spans="1:18" x14ac:dyDescent="0.25">
      <c r="A10" s="5">
        <v>1.980691304582046</v>
      </c>
      <c r="B10">
        <v>0.29595990327355498</v>
      </c>
      <c r="C10">
        <v>-1.1702209576189531</v>
      </c>
      <c r="D10">
        <v>-1.45846503480211</v>
      </c>
      <c r="E10">
        <v>-1.514596939418587</v>
      </c>
      <c r="F10">
        <v>-1.578511869553177</v>
      </c>
      <c r="G10">
        <v>-1.578511869553177</v>
      </c>
      <c r="H10">
        <v>-1.514596939418587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</row>
    <row r="11" spans="1:18" x14ac:dyDescent="0.25">
      <c r="A11" s="5">
        <v>1.9336677366397059</v>
      </c>
      <c r="B11">
        <v>0.1574926439786199</v>
      </c>
      <c r="C11">
        <v>-0.45624494742588528</v>
      </c>
      <c r="D11">
        <v>-1.4856820007195011</v>
      </c>
      <c r="E11">
        <v>-1.45846503480211</v>
      </c>
      <c r="F11">
        <v>-1.545444573179084</v>
      </c>
      <c r="G11">
        <v>-1.4327516043600459</v>
      </c>
      <c r="H11">
        <v>-0.95957134294439284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</row>
    <row r="12" spans="1:18" x14ac:dyDescent="0.25">
      <c r="A12" s="5">
        <v>1.827040781438199</v>
      </c>
      <c r="B12">
        <v>6.8057612907559836E-2</v>
      </c>
      <c r="C12">
        <v>0.34014801111555087</v>
      </c>
      <c r="D12">
        <v>-1.3631242825001839</v>
      </c>
      <c r="E12">
        <v>-1.4327516043600459</v>
      </c>
      <c r="F12">
        <v>-1.578511869553177</v>
      </c>
      <c r="G12">
        <v>-1.142053948747725</v>
      </c>
      <c r="H12">
        <v>-0.24615343666192119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</row>
    <row r="13" spans="1:18" x14ac:dyDescent="0.25">
      <c r="A13" s="5">
        <v>1.7705451871527289</v>
      </c>
      <c r="B13">
        <v>3.833201450680674E-2</v>
      </c>
      <c r="C13">
        <v>0.84226874999539159</v>
      </c>
      <c r="D13">
        <v>-1.3024351558328691</v>
      </c>
      <c r="E13">
        <v>-1.321819483905311</v>
      </c>
      <c r="F13">
        <v>-1.0900496250895491</v>
      </c>
      <c r="G13">
        <v>-0.79394551756687726</v>
      </c>
      <c r="H13">
        <v>0.25527250510330463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</row>
    <row r="14" spans="1:18" x14ac:dyDescent="0.25">
      <c r="A14" s="5">
        <v>1.7440974190635239</v>
      </c>
      <c r="B14">
        <v>2.433892373539091E-2</v>
      </c>
      <c r="C14">
        <v>1.191603425233924</v>
      </c>
      <c r="D14">
        <v>-1.155938933396812</v>
      </c>
      <c r="E14">
        <v>-1.184925368153227</v>
      </c>
      <c r="F14">
        <v>-0.83880537935058663</v>
      </c>
      <c r="G14">
        <v>-0.51645195951508038</v>
      </c>
      <c r="H14">
        <v>0.59434585455452171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</row>
    <row r="15" spans="1:18" x14ac:dyDescent="0.25">
      <c r="A15" s="5">
        <v>1.7322008018720709</v>
      </c>
      <c r="B15">
        <v>2.0142324533150509E-2</v>
      </c>
      <c r="C15">
        <v>1.330693602277621</v>
      </c>
      <c r="D15">
        <v>-0.99958018896498813</v>
      </c>
      <c r="E15">
        <v>-0.99958018896498813</v>
      </c>
      <c r="F15">
        <v>-0.71309653014324781</v>
      </c>
      <c r="G15">
        <v>-0.33837574099736839</v>
      </c>
      <c r="H15">
        <v>0.76199725943106256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</row>
    <row r="16" spans="1:18" x14ac:dyDescent="0.25">
      <c r="A16" s="5">
        <v>1.7069872080419219</v>
      </c>
      <c r="B16">
        <v>8.4338796081341733E-3</v>
      </c>
      <c r="C16">
        <v>1.818962939492804</v>
      </c>
      <c r="D16">
        <v>-0.95001679396111671</v>
      </c>
      <c r="E16">
        <v>-0.92231743001357314</v>
      </c>
      <c r="F16">
        <v>-0.35039161049348272</v>
      </c>
      <c r="G16">
        <v>0.1043479956700375</v>
      </c>
      <c r="H16">
        <v>1.206967825528747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</row>
    <row r="17" spans="1:18" x14ac:dyDescent="0.25">
      <c r="A17">
        <v>25</v>
      </c>
      <c r="B17">
        <v>3.1622776601683777E-2</v>
      </c>
      <c r="C17">
        <v>0</v>
      </c>
      <c r="D17">
        <v>-0.26750963699125352</v>
      </c>
      <c r="E17">
        <v>-5.5316923634942707E-2</v>
      </c>
      <c r="F17">
        <v>0</v>
      </c>
      <c r="G17">
        <v>-0.20910908521850771</v>
      </c>
      <c r="H17">
        <v>0</v>
      </c>
      <c r="I17">
        <v>-0.61134831389953581</v>
      </c>
      <c r="J17">
        <v>-1.7026524217189538E-2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  <c r="Q17">
        <v>1</v>
      </c>
      <c r="R17">
        <v>1</v>
      </c>
    </row>
    <row r="18" spans="1:18" x14ac:dyDescent="0.25">
      <c r="A18">
        <v>25</v>
      </c>
      <c r="B18">
        <v>0.01</v>
      </c>
      <c r="C18">
        <v>0</v>
      </c>
      <c r="D18">
        <v>0.25573196162710737</v>
      </c>
      <c r="E18">
        <v>0.54236684047993289</v>
      </c>
      <c r="F18">
        <v>0</v>
      </c>
      <c r="G18">
        <v>-3.1804562525097141E-2</v>
      </c>
      <c r="H18">
        <v>0</v>
      </c>
      <c r="I18">
        <v>-0.1512553277727009</v>
      </c>
      <c r="J18">
        <v>0.21796179846852079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1</v>
      </c>
      <c r="R18">
        <v>1</v>
      </c>
    </row>
    <row r="19" spans="1:18" x14ac:dyDescent="0.25">
      <c r="A19">
        <v>25</v>
      </c>
      <c r="B19">
        <v>3.1622776601683759E-3</v>
      </c>
      <c r="C19">
        <v>0</v>
      </c>
      <c r="D19">
        <v>0.29563415617744288</v>
      </c>
      <c r="E19">
        <v>0.54866024026583626</v>
      </c>
      <c r="F19">
        <v>0</v>
      </c>
      <c r="G19">
        <v>-3.076090305997338E-2</v>
      </c>
      <c r="H19">
        <v>0</v>
      </c>
      <c r="I19">
        <v>-9.1714900819881665E-2</v>
      </c>
      <c r="J19">
        <v>0.50346445715765153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"/>
  <sheetViews>
    <sheetView workbookViewId="0">
      <selection activeCell="E4" sqref="E4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16</v>
      </c>
      <c r="V1" t="s">
        <v>17</v>
      </c>
    </row>
    <row r="2" spans="1:22" x14ac:dyDescent="0.25">
      <c r="A2">
        <v>5</v>
      </c>
      <c r="B2">
        <v>0.24099999999999999</v>
      </c>
      <c r="C2">
        <v>2.2395622457170412</v>
      </c>
      <c r="D2">
        <v>1.1879817525171541</v>
      </c>
      <c r="E2">
        <v>4.1825819962989419</v>
      </c>
      <c r="F2">
        <v>1.5251941583177719</v>
      </c>
      <c r="G2">
        <v>2.0932100521339581</v>
      </c>
      <c r="H2">
        <v>1.3928628341453531</v>
      </c>
      <c r="I2">
        <v>1.3928628341453531</v>
      </c>
      <c r="J2">
        <v>1.7871795372261761</v>
      </c>
      <c r="K2">
        <v>1.9125527924175689</v>
      </c>
      <c r="L2">
        <v>1.4909941389328649</v>
      </c>
      <c r="M2">
        <v>6.1974715925357966</v>
      </c>
      <c r="N2">
        <v>24.87592064662892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0</v>
      </c>
      <c r="V2">
        <v>0</v>
      </c>
    </row>
    <row r="3" spans="1:22" x14ac:dyDescent="0.25">
      <c r="A3">
        <v>5</v>
      </c>
      <c r="B3">
        <v>0.52700000000000002</v>
      </c>
      <c r="C3">
        <v>6.6114061337195604</v>
      </c>
      <c r="D3">
        <v>2.866609580241787</v>
      </c>
      <c r="E3">
        <v>3.205177802787111</v>
      </c>
      <c r="F3">
        <v>5.9350943102767584</v>
      </c>
      <c r="G3">
        <v>2.803186715169653</v>
      </c>
      <c r="H3">
        <v>2.3426369721582359</v>
      </c>
      <c r="I3">
        <v>2.0932100521339581</v>
      </c>
      <c r="J3">
        <v>2.5059821239382138</v>
      </c>
      <c r="K3">
        <v>0.78806838503302834</v>
      </c>
      <c r="L3">
        <v>3.2773891454587498</v>
      </c>
      <c r="M3">
        <v>3.8286503882254732</v>
      </c>
      <c r="N3">
        <v>6.9014880368182627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 x14ac:dyDescent="0.25">
      <c r="A4">
        <v>5</v>
      </c>
      <c r="B4">
        <v>0.79600000000000004</v>
      </c>
      <c r="C4">
        <v>25.746444105693019</v>
      </c>
      <c r="D4">
        <v>2.866609580241787</v>
      </c>
      <c r="E4">
        <v>2.9976589159516012</v>
      </c>
      <c r="F4">
        <v>3.351171054837125</v>
      </c>
      <c r="G4">
        <v>3.351171054837125</v>
      </c>
      <c r="H4">
        <v>2.7411274627306499</v>
      </c>
      <c r="I4">
        <v>2.803186715169653</v>
      </c>
      <c r="J4">
        <v>3.6626441176046929</v>
      </c>
      <c r="K4">
        <v>3.9143402751692982</v>
      </c>
      <c r="L4">
        <v>9.4787395973196098</v>
      </c>
      <c r="M4">
        <v>15.097955721132321</v>
      </c>
      <c r="N4">
        <v>29.90226013898921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 x14ac:dyDescent="0.25">
      <c r="A5">
        <v>5</v>
      </c>
      <c r="B5">
        <v>1.137</v>
      </c>
      <c r="C5">
        <v>69.123615241476301</v>
      </c>
      <c r="D5">
        <v>2.866609580241787</v>
      </c>
      <c r="E5">
        <v>4.3710847735683966</v>
      </c>
      <c r="F5">
        <v>6.7550028996576179</v>
      </c>
      <c r="G5">
        <v>3.5035734831986272</v>
      </c>
      <c r="H5">
        <v>2.7411274627306499</v>
      </c>
      <c r="I5">
        <v>5.5609816758203392</v>
      </c>
      <c r="J5">
        <v>6.4706500953921759</v>
      </c>
      <c r="K5">
        <v>17.282198303686041</v>
      </c>
      <c r="L5">
        <v>36.525666494768323</v>
      </c>
      <c r="M5">
        <v>52.300958729756232</v>
      </c>
      <c r="N5">
        <v>73.810903254041875</v>
      </c>
      <c r="O5">
        <v>1</v>
      </c>
      <c r="P5">
        <v>1</v>
      </c>
      <c r="Q5">
        <v>1</v>
      </c>
      <c r="R5">
        <v>0</v>
      </c>
      <c r="S5">
        <v>0</v>
      </c>
      <c r="T5">
        <v>1</v>
      </c>
      <c r="U5">
        <v>0</v>
      </c>
      <c r="V5">
        <v>1</v>
      </c>
    </row>
    <row r="6" spans="1:22" x14ac:dyDescent="0.25">
      <c r="A6">
        <v>5</v>
      </c>
      <c r="B6">
        <v>1.321</v>
      </c>
      <c r="C6">
        <v>88.113778355369817</v>
      </c>
      <c r="D6">
        <v>5.6831520840097216</v>
      </c>
      <c r="E6">
        <v>4.7726721034203887</v>
      </c>
      <c r="F6">
        <v>4.1825819962989419</v>
      </c>
      <c r="G6">
        <v>4.5676781039662373</v>
      </c>
      <c r="H6">
        <v>7.2033158503842589</v>
      </c>
      <c r="I6">
        <v>11.181576977811689</v>
      </c>
      <c r="J6">
        <v>13.680688860321</v>
      </c>
      <c r="K6">
        <v>37.599824138233288</v>
      </c>
      <c r="L6">
        <v>64.535245043938247</v>
      </c>
      <c r="M6">
        <v>79.174883750818452</v>
      </c>
      <c r="N6">
        <v>89.045063872292474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  <row r="7" spans="1:22" x14ac:dyDescent="0.25">
      <c r="A7">
        <v>5</v>
      </c>
      <c r="B7">
        <v>1.466</v>
      </c>
      <c r="C7">
        <v>94.064905689723247</v>
      </c>
      <c r="D7">
        <v>5.6831520840097216</v>
      </c>
      <c r="E7">
        <v>6.3326875310947912</v>
      </c>
      <c r="F7">
        <v>10.08826283567233</v>
      </c>
      <c r="G7">
        <v>6.0649558509397794</v>
      </c>
      <c r="H7">
        <v>12.377068106893541</v>
      </c>
      <c r="I7">
        <v>19.709082984618409</v>
      </c>
      <c r="J7">
        <v>23.194799683241602</v>
      </c>
      <c r="K7">
        <v>55.731163376229283</v>
      </c>
      <c r="L7">
        <v>80.290917015381595</v>
      </c>
      <c r="M7">
        <v>88.58769425858496</v>
      </c>
      <c r="N7">
        <v>94.064905689723247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</row>
    <row r="8" spans="1:22" x14ac:dyDescent="0.25">
      <c r="A8">
        <v>5</v>
      </c>
      <c r="B8">
        <v>1.524</v>
      </c>
      <c r="C8">
        <v>95.724158885346398</v>
      </c>
      <c r="D8">
        <v>11.41230574141505</v>
      </c>
      <c r="E8">
        <v>8.7174188254586831</v>
      </c>
      <c r="F8">
        <v>11.647171194356069</v>
      </c>
      <c r="G8">
        <v>9.0909090909090917</v>
      </c>
      <c r="H8">
        <v>16.00493053652465</v>
      </c>
      <c r="I8">
        <v>26.636629758619261</v>
      </c>
      <c r="J8">
        <v>31.369974231668749</v>
      </c>
      <c r="K8">
        <v>64.006499980288496</v>
      </c>
      <c r="L8">
        <v>85.482917753175954</v>
      </c>
      <c r="M8">
        <v>92.321068030289979</v>
      </c>
      <c r="N8">
        <v>95.531649062820279</v>
      </c>
      <c r="O8">
        <v>1</v>
      </c>
      <c r="P8">
        <v>1</v>
      </c>
      <c r="Q8">
        <v>0</v>
      </c>
      <c r="R8">
        <v>1</v>
      </c>
      <c r="S8">
        <v>1</v>
      </c>
      <c r="T8">
        <v>1</v>
      </c>
      <c r="U8">
        <v>0</v>
      </c>
      <c r="V8">
        <v>1</v>
      </c>
    </row>
    <row r="10" spans="1:22" x14ac:dyDescent="0.25">
      <c r="F10">
        <f>F8/(100-F8)</f>
        <v>0.13182567385564065</v>
      </c>
    </row>
    <row r="11" spans="1:22" x14ac:dyDescent="0.25">
      <c r="F11">
        <f>LOG10(F10)</f>
        <v>-0.88000000000000023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>
      <selection activeCell="I12" sqref="I1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19</v>
      </c>
      <c r="D1" t="s">
        <v>21</v>
      </c>
      <c r="E1" t="s">
        <v>23</v>
      </c>
      <c r="F1" t="s">
        <v>24</v>
      </c>
      <c r="G1" t="s">
        <v>26</v>
      </c>
      <c r="H1" t="s">
        <v>28</v>
      </c>
    </row>
    <row r="2" spans="1:8" x14ac:dyDescent="0.25">
      <c r="A2">
        <v>2</v>
      </c>
      <c r="B2">
        <v>0.235616438356164</v>
      </c>
      <c r="C2">
        <v>2.373626373626359</v>
      </c>
      <c r="D2">
        <v>1.3846153846153491</v>
      </c>
      <c r="E2">
        <v>1.780219780219759</v>
      </c>
      <c r="F2">
        <v>1.3846153846153491</v>
      </c>
      <c r="G2">
        <v>2.1758241758241401</v>
      </c>
      <c r="H2">
        <v>1.780219780219759</v>
      </c>
    </row>
    <row r="3" spans="1:8" x14ac:dyDescent="0.25">
      <c r="A3">
        <v>2</v>
      </c>
      <c r="B3">
        <v>0.52876712328767095</v>
      </c>
      <c r="C3">
        <v>6.329670329670317</v>
      </c>
      <c r="D3">
        <v>3.3626373626373378</v>
      </c>
      <c r="E3">
        <v>2.967032967032929</v>
      </c>
      <c r="F3">
        <v>2.571428571428549</v>
      </c>
      <c r="G3">
        <v>2.571428571428549</v>
      </c>
      <c r="H3">
        <v>2.967032967032929</v>
      </c>
    </row>
    <row r="4" spans="1:8" x14ac:dyDescent="0.25">
      <c r="A4">
        <v>2</v>
      </c>
      <c r="B4">
        <v>0.80273972602739696</v>
      </c>
      <c r="C4">
        <v>25.912087912087799</v>
      </c>
      <c r="D4">
        <v>3.16483516483515</v>
      </c>
      <c r="E4">
        <v>3.3626373626373378</v>
      </c>
      <c r="F4">
        <v>2.769230769230739</v>
      </c>
      <c r="G4">
        <v>3.56043956043953</v>
      </c>
      <c r="H4">
        <v>9.8901098901098674</v>
      </c>
    </row>
    <row r="5" spans="1:8" x14ac:dyDescent="0.25">
      <c r="A5">
        <v>2</v>
      </c>
      <c r="B5">
        <v>1.1671232876712301</v>
      </c>
      <c r="C5">
        <v>68.637362637362614</v>
      </c>
      <c r="D5">
        <v>4.1538461538461409</v>
      </c>
      <c r="E5">
        <v>3.56043956043953</v>
      </c>
      <c r="F5">
        <v>2.571428571428549</v>
      </c>
      <c r="G5">
        <v>6.7252747252746978</v>
      </c>
      <c r="H5">
        <v>36.197802197802098</v>
      </c>
    </row>
    <row r="6" spans="1:8" x14ac:dyDescent="0.25">
      <c r="A6">
        <v>2</v>
      </c>
      <c r="B6">
        <v>1.4164383561643801</v>
      </c>
      <c r="C6">
        <v>87.428571428571402</v>
      </c>
      <c r="D6">
        <v>4.7472527472527402</v>
      </c>
      <c r="E6">
        <v>4.5494505494505493</v>
      </c>
      <c r="F6">
        <v>7.5164835164834978</v>
      </c>
      <c r="G6">
        <v>13.84615384615379</v>
      </c>
      <c r="H6">
        <v>64.285714285714207</v>
      </c>
    </row>
    <row r="7" spans="1:8" x14ac:dyDescent="0.25">
      <c r="A7">
        <v>2</v>
      </c>
      <c r="B7">
        <v>1.61369863013698</v>
      </c>
      <c r="C7">
        <v>93.956043956043899</v>
      </c>
      <c r="D7">
        <v>6.5274725274725096</v>
      </c>
      <c r="E7">
        <v>6.1318681318681314</v>
      </c>
      <c r="F7">
        <v>12.659340659340589</v>
      </c>
      <c r="G7">
        <v>23.34065934065929</v>
      </c>
      <c r="H7">
        <v>79.714285714285694</v>
      </c>
    </row>
    <row r="8" spans="1:8" x14ac:dyDescent="0.25">
      <c r="A8">
        <v>2</v>
      </c>
      <c r="B8">
        <v>1.6958904109588999</v>
      </c>
      <c r="C8">
        <v>95.538461538461505</v>
      </c>
      <c r="D8">
        <v>9.0989010989010772</v>
      </c>
      <c r="E8">
        <v>9.0989010989010772</v>
      </c>
      <c r="F8">
        <v>16.219780219780201</v>
      </c>
      <c r="G8">
        <v>31.450549450549399</v>
      </c>
      <c r="H8">
        <v>85.252747252747199</v>
      </c>
    </row>
    <row r="9" spans="1:8" x14ac:dyDescent="0.25">
      <c r="A9">
        <v>2</v>
      </c>
      <c r="B9">
        <v>2.0739726027397198</v>
      </c>
      <c r="C9">
        <v>98.505494505494497</v>
      </c>
      <c r="D9">
        <v>10.087912087912001</v>
      </c>
      <c r="E9">
        <v>10.681318681318601</v>
      </c>
      <c r="F9">
        <v>30.857142857142801</v>
      </c>
      <c r="G9">
        <v>55.978021978021907</v>
      </c>
      <c r="H9">
        <v>94.153846153846104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5" x14ac:dyDescent="0.25"/>
  <sheetData>
    <row r="1" spans="1:5" x14ac:dyDescent="0.25">
      <c r="B1" s="2" t="s">
        <v>31</v>
      </c>
      <c r="C1" s="2" t="s">
        <v>32</v>
      </c>
      <c r="D1" s="2" t="s">
        <v>33</v>
      </c>
      <c r="E1" s="2" t="s">
        <v>34</v>
      </c>
    </row>
    <row r="2" spans="1:5" x14ac:dyDescent="0.25">
      <c r="A2" s="2" t="s">
        <v>19</v>
      </c>
      <c r="B2">
        <v>1.9230277973689189</v>
      </c>
      <c r="C2">
        <v>7.4853223749340739E-2</v>
      </c>
      <c r="D2">
        <v>-2.186903544087802</v>
      </c>
      <c r="E2">
        <v>6.2819968088334883E-7</v>
      </c>
    </row>
    <row r="3" spans="1:5" x14ac:dyDescent="0.25">
      <c r="A3" s="2" t="s">
        <v>21</v>
      </c>
      <c r="B3">
        <v>0.45180472927002618</v>
      </c>
      <c r="C3">
        <v>1.4818400727574539E-2</v>
      </c>
      <c r="D3">
        <v>-1.920419793279931</v>
      </c>
      <c r="E3">
        <v>9.4796428584878155E-7</v>
      </c>
    </row>
    <row r="4" spans="1:5" x14ac:dyDescent="0.25">
      <c r="A4" s="2" t="s">
        <v>23</v>
      </c>
      <c r="B4">
        <v>0.4060631417975501</v>
      </c>
      <c r="C4">
        <v>3.377870105588704E-7</v>
      </c>
      <c r="D4">
        <v>-1.8201074199150331</v>
      </c>
      <c r="E4">
        <v>1.7792669785849251E-6</v>
      </c>
    </row>
    <row r="5" spans="1:5" x14ac:dyDescent="0.25">
      <c r="A5" s="2" t="s">
        <v>24</v>
      </c>
      <c r="B5">
        <v>0.7640355993348783</v>
      </c>
      <c r="C5">
        <v>2.1876135734062978E-2</v>
      </c>
      <c r="D5">
        <v>-2.153372230911101</v>
      </c>
      <c r="E5">
        <v>8.4034192197119471E-3</v>
      </c>
    </row>
    <row r="6" spans="1:5" x14ac:dyDescent="0.25">
      <c r="A6" s="2" t="s">
        <v>26</v>
      </c>
      <c r="B6">
        <v>1.141497734476933</v>
      </c>
      <c r="C6">
        <v>1.9310300700903041E-6</v>
      </c>
      <c r="D6">
        <v>-2.4072482532473858</v>
      </c>
      <c r="E6">
        <v>0.2967112856598183</v>
      </c>
    </row>
    <row r="7" spans="1:5" x14ac:dyDescent="0.25">
      <c r="A7" s="2" t="s">
        <v>28</v>
      </c>
      <c r="B7">
        <v>1.689088275320092</v>
      </c>
      <c r="C7">
        <v>5.7739858084018603E-2</v>
      </c>
      <c r="D7">
        <v>-2.3544739523307872</v>
      </c>
      <c r="E7">
        <v>1.0897915653978989E-6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activeCell="B2" sqref="B2:E7"/>
    </sheetView>
  </sheetViews>
  <sheetFormatPr defaultRowHeight="15" x14ac:dyDescent="0.25"/>
  <sheetData>
    <row r="1" spans="1:5" x14ac:dyDescent="0.25">
      <c r="B1" s="3" t="s">
        <v>31</v>
      </c>
      <c r="C1" s="3" t="s">
        <v>32</v>
      </c>
      <c r="D1" s="3" t="s">
        <v>33</v>
      </c>
      <c r="E1" s="3" t="s">
        <v>34</v>
      </c>
    </row>
    <row r="2" spans="1:5" x14ac:dyDescent="0.25">
      <c r="A2" s="3" t="s">
        <v>19</v>
      </c>
      <c r="B2">
        <v>1.897192941483695</v>
      </c>
      <c r="C2">
        <v>7.4553651855725475E-2</v>
      </c>
      <c r="D2">
        <v>-2.1749231856689391</v>
      </c>
      <c r="E2">
        <v>6.5261468608422347E-7</v>
      </c>
    </row>
    <row r="3" spans="1:5" x14ac:dyDescent="0.25">
      <c r="A3" s="3" t="s">
        <v>21</v>
      </c>
      <c r="B3">
        <v>0.44785944449720161</v>
      </c>
      <c r="C3">
        <v>1.437950114489386E-2</v>
      </c>
      <c r="D3">
        <v>-1.917951287095474</v>
      </c>
      <c r="E3">
        <v>9.2205221974716144E-7</v>
      </c>
    </row>
    <row r="4" spans="1:5" x14ac:dyDescent="0.25">
      <c r="A4" s="3" t="s">
        <v>23</v>
      </c>
      <c r="B4">
        <v>0.40606294115621022</v>
      </c>
      <c r="C4">
        <v>3.4349094881238079E-7</v>
      </c>
      <c r="D4">
        <v>-1.820107329944149</v>
      </c>
      <c r="E4">
        <v>1.7491210543681691E-6</v>
      </c>
    </row>
    <row r="5" spans="1:5" x14ac:dyDescent="0.25">
      <c r="A5" s="3" t="s">
        <v>24</v>
      </c>
      <c r="B5">
        <v>0.75082756926099659</v>
      </c>
      <c r="C5">
        <v>2.3699858241809198E-2</v>
      </c>
      <c r="D5">
        <v>-2.1465969485804659</v>
      </c>
      <c r="E5">
        <v>8.4797556282485416E-6</v>
      </c>
    </row>
    <row r="6" spans="1:5" x14ac:dyDescent="0.25">
      <c r="A6" s="3" t="s">
        <v>26</v>
      </c>
      <c r="B6">
        <v>1.114322111707081</v>
      </c>
      <c r="C6">
        <v>4.9258253334462558E-3</v>
      </c>
      <c r="D6">
        <v>-2.3870195171610531</v>
      </c>
      <c r="E6">
        <v>0.26486090809009472</v>
      </c>
    </row>
    <row r="7" spans="1:5" x14ac:dyDescent="0.25">
      <c r="A7" s="3" t="s">
        <v>28</v>
      </c>
      <c r="B7">
        <v>1.6656777779483489</v>
      </c>
      <c r="C7">
        <v>5.8864314873466522E-2</v>
      </c>
      <c r="D7">
        <v>-2.3466295945922599</v>
      </c>
      <c r="E7">
        <v>1.0581596802886029E-6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/>
  </sheetViews>
  <sheetFormatPr defaultRowHeight="15" x14ac:dyDescent="0.25"/>
  <sheetData>
    <row r="1" spans="1:5" x14ac:dyDescent="0.25">
      <c r="B1" s="4" t="s">
        <v>31</v>
      </c>
      <c r="C1" s="4" t="s">
        <v>32</v>
      </c>
      <c r="D1" s="4" t="s">
        <v>33</v>
      </c>
      <c r="E1" s="4" t="s">
        <v>34</v>
      </c>
    </row>
    <row r="2" spans="1:5" x14ac:dyDescent="0.25">
      <c r="A2" s="4" t="s">
        <v>19</v>
      </c>
      <c r="B2">
        <v>1.9230277973689189</v>
      </c>
      <c r="C2">
        <v>7.4853223749340739E-2</v>
      </c>
      <c r="D2">
        <v>-2.186903544087802</v>
      </c>
      <c r="E2">
        <v>6.2819968088334883E-7</v>
      </c>
    </row>
    <row r="3" spans="1:5" x14ac:dyDescent="0.25">
      <c r="A3" s="4" t="s">
        <v>21</v>
      </c>
      <c r="B3">
        <v>0.45180472927002618</v>
      </c>
      <c r="C3">
        <v>1.4818400727574539E-2</v>
      </c>
      <c r="D3">
        <v>-1.920419793279931</v>
      </c>
      <c r="E3">
        <v>9.4796428584878155E-7</v>
      </c>
    </row>
    <row r="4" spans="1:5" x14ac:dyDescent="0.25">
      <c r="A4" s="4" t="s">
        <v>23</v>
      </c>
      <c r="B4">
        <v>0.4060631417975501</v>
      </c>
      <c r="C4">
        <v>3.377870105588704E-7</v>
      </c>
      <c r="D4">
        <v>-1.8201074199150331</v>
      </c>
      <c r="E4">
        <v>1.7792669785849251E-6</v>
      </c>
    </row>
    <row r="5" spans="1:5" x14ac:dyDescent="0.25">
      <c r="A5" s="4" t="s">
        <v>24</v>
      </c>
      <c r="B5">
        <v>0.7640355993348783</v>
      </c>
      <c r="C5">
        <v>2.1876135734062978E-2</v>
      </c>
      <c r="D5">
        <v>-2.153372230911101</v>
      </c>
      <c r="E5">
        <v>8.4034192197119471E-3</v>
      </c>
    </row>
    <row r="6" spans="1:5" x14ac:dyDescent="0.25">
      <c r="A6" s="4" t="s">
        <v>26</v>
      </c>
      <c r="B6">
        <v>1.141497734476933</v>
      </c>
      <c r="C6">
        <v>1.9310300700903041E-6</v>
      </c>
      <c r="D6">
        <v>-2.4072482532473858</v>
      </c>
      <c r="E6">
        <v>0.2967112856598183</v>
      </c>
    </row>
    <row r="7" spans="1:5" x14ac:dyDescent="0.25">
      <c r="A7" s="4" t="s">
        <v>28</v>
      </c>
      <c r="B7">
        <v>1.689088275320092</v>
      </c>
      <c r="C7">
        <v>5.7739858084018603E-2</v>
      </c>
      <c r="D7">
        <v>-2.3544739523307872</v>
      </c>
      <c r="E7">
        <v>1.0897915653978989E-6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1"/>
  <sheetViews>
    <sheetView workbookViewId="0">
      <selection activeCell="C1" sqref="C1:F1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35</v>
      </c>
      <c r="L1" t="s">
        <v>36</v>
      </c>
      <c r="M1" t="s">
        <v>37</v>
      </c>
      <c r="N1" t="s">
        <v>38</v>
      </c>
    </row>
    <row r="2" spans="1:14" x14ac:dyDescent="0.25">
      <c r="A2">
        <v>1</v>
      </c>
      <c r="B2">
        <v>0.5</v>
      </c>
      <c r="C2">
        <v>44.37</v>
      </c>
      <c r="D2">
        <v>8.43</v>
      </c>
      <c r="E2">
        <v>16.72</v>
      </c>
      <c r="F2">
        <v>39.33</v>
      </c>
      <c r="G2">
        <f t="shared" ref="G2:G11" si="0">3*C2/(100-C2)</f>
        <v>2.3927736832644251</v>
      </c>
      <c r="H2">
        <f t="shared" ref="H2:H11" si="1">3*D2/(100-D2)</f>
        <v>0.27618215572785848</v>
      </c>
      <c r="I2">
        <f t="shared" ref="I2:I11" si="2">3*E2/(100-E2)</f>
        <v>0.60230547550432267</v>
      </c>
      <c r="J2">
        <f t="shared" ref="J2:J11" si="3">3*F2/(100-F2)</f>
        <v>1.9447832536673808</v>
      </c>
      <c r="K2">
        <f t="shared" ref="K2:K11" si="4">LOG10(G2)</f>
        <v>0.37890162349538925</v>
      </c>
      <c r="L2">
        <f t="shared" ref="L2:L11" si="5">LOG10(H2)</f>
        <v>-0.55880438484237782</v>
      </c>
      <c r="M2">
        <f t="shared" ref="M2:M11" si="6">LOG10(I2)</f>
        <v>-0.22018318867981979</v>
      </c>
      <c r="N2">
        <f t="shared" ref="N2:N11" si="7">LOG10(J2)</f>
        <v>0.28887120618536088</v>
      </c>
    </row>
    <row r="3" spans="1:14" x14ac:dyDescent="0.25">
      <c r="A3">
        <v>2</v>
      </c>
      <c r="B3">
        <v>0.5</v>
      </c>
      <c r="C3">
        <v>65.069999999999993</v>
      </c>
      <c r="D3">
        <v>15.59</v>
      </c>
      <c r="E3">
        <v>21.08</v>
      </c>
      <c r="F3">
        <v>46.61</v>
      </c>
      <c r="G3">
        <f t="shared" si="0"/>
        <v>5.5886057829945592</v>
      </c>
      <c r="H3">
        <f t="shared" si="1"/>
        <v>0.55408126999170715</v>
      </c>
      <c r="I3">
        <f t="shared" si="2"/>
        <v>0.8013177901672579</v>
      </c>
      <c r="J3">
        <f t="shared" si="3"/>
        <v>2.6190297808578382</v>
      </c>
      <c r="K3">
        <f t="shared" si="4"/>
        <v>0.74730347581587131</v>
      </c>
      <c r="L3">
        <f t="shared" si="5"/>
        <v>-0.25642653036117807</v>
      </c>
      <c r="M3">
        <f t="shared" si="6"/>
        <v>-9.619521531998218E-2</v>
      </c>
      <c r="N3">
        <f t="shared" si="7"/>
        <v>0.41814043679433915</v>
      </c>
    </row>
    <row r="4" spans="1:14" x14ac:dyDescent="0.25">
      <c r="A4">
        <v>3</v>
      </c>
      <c r="B4">
        <v>0.5</v>
      </c>
      <c r="C4">
        <v>68.66</v>
      </c>
      <c r="D4">
        <v>20.18</v>
      </c>
      <c r="E4">
        <v>24.55</v>
      </c>
      <c r="F4">
        <v>49.74</v>
      </c>
      <c r="G4">
        <f t="shared" si="0"/>
        <v>6.5724313975749826</v>
      </c>
      <c r="H4">
        <f t="shared" si="1"/>
        <v>0.75845652718616896</v>
      </c>
      <c r="I4">
        <f t="shared" si="2"/>
        <v>0.97614314115308154</v>
      </c>
      <c r="J4">
        <f t="shared" si="3"/>
        <v>2.9689614007162755</v>
      </c>
      <c r="K4">
        <f t="shared" si="4"/>
        <v>0.81772606167682238</v>
      </c>
      <c r="L4">
        <f t="shared" si="5"/>
        <v>-0.12006930682745025</v>
      </c>
      <c r="M4">
        <f t="shared" si="6"/>
        <v>-1.0486492932958912E-2</v>
      </c>
      <c r="N4">
        <f t="shared" si="7"/>
        <v>0.47260455139702245</v>
      </c>
    </row>
    <row r="5" spans="1:14" x14ac:dyDescent="0.25">
      <c r="A5">
        <v>4</v>
      </c>
      <c r="B5">
        <v>0.5</v>
      </c>
      <c r="C5">
        <v>74.7</v>
      </c>
      <c r="D5">
        <v>28.24</v>
      </c>
      <c r="E5">
        <v>32.5</v>
      </c>
      <c r="F5">
        <v>52.98</v>
      </c>
      <c r="G5">
        <f t="shared" si="0"/>
        <v>8.8577075098814255</v>
      </c>
      <c r="H5">
        <f t="shared" si="1"/>
        <v>1.1806020066889631</v>
      </c>
      <c r="I5">
        <f t="shared" si="2"/>
        <v>1.4444444444444444</v>
      </c>
      <c r="J5">
        <f t="shared" si="3"/>
        <v>3.3802637175669923</v>
      </c>
      <c r="K5">
        <f t="shared" si="4"/>
        <v>0.94732133535924345</v>
      </c>
      <c r="L5">
        <f t="shared" si="5"/>
        <v>7.2103517063392866E-2</v>
      </c>
      <c r="M5">
        <f t="shared" si="6"/>
        <v>0.15970084286751188</v>
      </c>
      <c r="N5">
        <f t="shared" si="7"/>
        <v>0.52895058389195404</v>
      </c>
    </row>
    <row r="6" spans="1:14" x14ac:dyDescent="0.25">
      <c r="A6">
        <v>5</v>
      </c>
      <c r="B6">
        <v>0.5</v>
      </c>
      <c r="C6">
        <v>77.05</v>
      </c>
      <c r="D6">
        <v>38.65</v>
      </c>
      <c r="E6">
        <v>36.75</v>
      </c>
      <c r="F6">
        <v>58.92</v>
      </c>
      <c r="G6">
        <f t="shared" si="0"/>
        <v>10.071895424836599</v>
      </c>
      <c r="H6">
        <f t="shared" si="1"/>
        <v>1.8899755501222493</v>
      </c>
      <c r="I6">
        <f t="shared" si="2"/>
        <v>1.7430830039525691</v>
      </c>
      <c r="J6">
        <f t="shared" si="3"/>
        <v>4.3028237585199607</v>
      </c>
      <c r="K6">
        <f t="shared" si="4"/>
        <v>1.0031112079008204</v>
      </c>
      <c r="L6">
        <f t="shared" si="5"/>
        <v>0.27645618591098309</v>
      </c>
      <c r="M6">
        <f t="shared" si="6"/>
        <v>0.2413180682920206</v>
      </c>
      <c r="N6">
        <f t="shared" si="7"/>
        <v>0.63375355796501509</v>
      </c>
    </row>
    <row r="7" spans="1:14" x14ac:dyDescent="0.25">
      <c r="A7">
        <v>2</v>
      </c>
      <c r="B7">
        <v>0.19</v>
      </c>
      <c r="C7">
        <v>34.67</v>
      </c>
      <c r="D7">
        <v>64.37</v>
      </c>
      <c r="E7">
        <v>25.98</v>
      </c>
      <c r="F7">
        <v>44.13</v>
      </c>
      <c r="G7">
        <f t="shared" si="0"/>
        <v>1.5920710240318385</v>
      </c>
      <c r="H7">
        <f t="shared" si="1"/>
        <v>5.4198708953129398</v>
      </c>
      <c r="I7">
        <f t="shared" si="2"/>
        <v>1.0529586598216698</v>
      </c>
      <c r="J7">
        <f t="shared" si="3"/>
        <v>2.3696080186146413</v>
      </c>
      <c r="K7">
        <f t="shared" si="4"/>
        <v>0.20196243818624662</v>
      </c>
      <c r="L7">
        <f t="shared" si="5"/>
        <v>0.73398894149761618</v>
      </c>
      <c r="M7">
        <f t="shared" si="6"/>
        <v>2.2411320697578532E-2</v>
      </c>
      <c r="N7">
        <f t="shared" si="7"/>
        <v>0.37467651080669057</v>
      </c>
    </row>
    <row r="8" spans="1:14" x14ac:dyDescent="0.25">
      <c r="A8">
        <v>2</v>
      </c>
      <c r="B8">
        <v>0.5</v>
      </c>
      <c r="C8">
        <v>66.14</v>
      </c>
      <c r="D8">
        <v>15.43</v>
      </c>
      <c r="E8">
        <v>21.29</v>
      </c>
      <c r="F8">
        <v>46.64</v>
      </c>
      <c r="G8">
        <f t="shared" si="0"/>
        <v>5.8600118133490851</v>
      </c>
      <c r="H8">
        <f t="shared" si="1"/>
        <v>0.54735721887194044</v>
      </c>
      <c r="I8">
        <f t="shared" si="2"/>
        <v>0.81145978909922489</v>
      </c>
      <c r="J8">
        <f t="shared" si="3"/>
        <v>2.6221889055472265</v>
      </c>
      <c r="K8">
        <f t="shared" si="4"/>
        <v>0.76789849152443013</v>
      </c>
      <c r="L8">
        <f t="shared" si="5"/>
        <v>-0.26172914980845402</v>
      </c>
      <c r="M8">
        <f t="shared" si="6"/>
        <v>-9.0732996238242117E-2</v>
      </c>
      <c r="N8">
        <f t="shared" si="7"/>
        <v>0.41866397556212759</v>
      </c>
    </row>
    <row r="9" spans="1:14" x14ac:dyDescent="0.25">
      <c r="A9">
        <v>2</v>
      </c>
      <c r="B9">
        <v>0.99</v>
      </c>
      <c r="C9">
        <v>84.82</v>
      </c>
      <c r="D9">
        <v>7.57</v>
      </c>
      <c r="E9">
        <v>16.27</v>
      </c>
      <c r="F9">
        <v>49.43</v>
      </c>
      <c r="G9">
        <f t="shared" si="0"/>
        <v>16.762845849802364</v>
      </c>
      <c r="H9">
        <f t="shared" si="1"/>
        <v>0.2456994482310938</v>
      </c>
      <c r="I9">
        <f t="shared" si="2"/>
        <v>0.5829451809387316</v>
      </c>
      <c r="J9">
        <f t="shared" si="3"/>
        <v>2.9323709709313821</v>
      </c>
      <c r="K9">
        <f t="shared" si="4"/>
        <v>1.2243477512838914</v>
      </c>
      <c r="L9">
        <f t="shared" si="5"/>
        <v>-0.60959581881686786</v>
      </c>
      <c r="M9">
        <f t="shared" si="6"/>
        <v>-0.23437228355177228</v>
      </c>
      <c r="N9">
        <f t="shared" si="7"/>
        <v>0.46721891154789469</v>
      </c>
    </row>
    <row r="10" spans="1:14" x14ac:dyDescent="0.25">
      <c r="A10">
        <v>2</v>
      </c>
      <c r="B10">
        <v>1.49</v>
      </c>
      <c r="C10">
        <v>95.26</v>
      </c>
      <c r="D10">
        <v>6.91</v>
      </c>
      <c r="E10">
        <v>9.01</v>
      </c>
      <c r="F10">
        <v>57.16</v>
      </c>
      <c r="G10">
        <f t="shared" si="0"/>
        <v>60.291139240506403</v>
      </c>
      <c r="H10">
        <f t="shared" si="1"/>
        <v>0.22268772155978087</v>
      </c>
      <c r="I10">
        <f t="shared" si="2"/>
        <v>0.29706561160567097</v>
      </c>
      <c r="J10">
        <f t="shared" si="3"/>
        <v>4.0028011204481784</v>
      </c>
      <c r="K10">
        <f t="shared" si="4"/>
        <v>1.7802534902211495</v>
      </c>
      <c r="L10">
        <f t="shared" si="5"/>
        <v>-0.65230372820996729</v>
      </c>
      <c r="M10">
        <f t="shared" si="6"/>
        <v>-0.52714761933160048</v>
      </c>
      <c r="N10">
        <f t="shared" si="7"/>
        <v>0.60236401267877693</v>
      </c>
    </row>
    <row r="11" spans="1:14" x14ac:dyDescent="0.25">
      <c r="A11">
        <v>2</v>
      </c>
      <c r="B11">
        <v>1.79</v>
      </c>
      <c r="C11">
        <v>96.42</v>
      </c>
      <c r="D11">
        <v>0.88</v>
      </c>
      <c r="E11">
        <v>8.3699999999999992</v>
      </c>
      <c r="F11">
        <v>70.180000000000007</v>
      </c>
      <c r="G11">
        <f t="shared" si="0"/>
        <v>80.79888268156428</v>
      </c>
      <c r="H11">
        <f t="shared" si="1"/>
        <v>2.6634382566585957E-2</v>
      </c>
      <c r="I11">
        <f t="shared" si="2"/>
        <v>0.27403688748226562</v>
      </c>
      <c r="J11">
        <f t="shared" si="3"/>
        <v>7.0603621730382313</v>
      </c>
      <c r="K11">
        <f t="shared" si="4"/>
        <v>1.9074053552227763</v>
      </c>
      <c r="L11">
        <f t="shared" si="5"/>
        <v>-1.574557366498176</v>
      </c>
      <c r="M11">
        <f t="shared" si="6"/>
        <v>-0.56219097385209027</v>
      </c>
      <c r="N11">
        <f t="shared" si="7"/>
        <v>0.8488269794820742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workbookViewId="0">
      <selection activeCell="R17" sqref="R1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</row>
    <row r="2" spans="1:14" x14ac:dyDescent="0.25">
      <c r="A2">
        <v>1</v>
      </c>
      <c r="B2">
        <v>0.5</v>
      </c>
      <c r="C2">
        <v>0.37890162349538931</v>
      </c>
      <c r="D2">
        <v>-0.55880438484237782</v>
      </c>
      <c r="E2">
        <v>-0.22018318867981981</v>
      </c>
      <c r="F2">
        <v>0.28887120618536088</v>
      </c>
      <c r="G2">
        <v>1</v>
      </c>
      <c r="H2">
        <v>1</v>
      </c>
      <c r="I2">
        <v>1</v>
      </c>
      <c r="J2">
        <v>1</v>
      </c>
      <c r="K2">
        <v>44.37</v>
      </c>
      <c r="L2">
        <v>8.43</v>
      </c>
      <c r="M2">
        <v>16.72</v>
      </c>
      <c r="N2">
        <v>39.33</v>
      </c>
    </row>
    <row r="3" spans="1:14" x14ac:dyDescent="0.25">
      <c r="A3">
        <v>2</v>
      </c>
      <c r="B3">
        <v>0.5</v>
      </c>
      <c r="C3">
        <v>0.74730347581587131</v>
      </c>
      <c r="D3">
        <v>-0.25642653036117807</v>
      </c>
      <c r="E3">
        <v>-9.619521531998218E-2</v>
      </c>
      <c r="F3">
        <v>0.41814043679433921</v>
      </c>
      <c r="G3">
        <v>1</v>
      </c>
      <c r="H3">
        <v>1</v>
      </c>
      <c r="I3">
        <v>1</v>
      </c>
      <c r="J3">
        <v>1</v>
      </c>
      <c r="K3">
        <v>65.069999999999993</v>
      </c>
      <c r="L3">
        <v>15.59</v>
      </c>
      <c r="M3">
        <v>21.08</v>
      </c>
      <c r="N3">
        <v>46.61</v>
      </c>
    </row>
    <row r="4" spans="1:14" x14ac:dyDescent="0.25">
      <c r="A4">
        <v>3</v>
      </c>
      <c r="B4">
        <v>0.5</v>
      </c>
      <c r="C4">
        <v>0.81772606167682238</v>
      </c>
      <c r="D4">
        <v>-0.12006930682745021</v>
      </c>
      <c r="E4">
        <v>-1.048649293295891E-2</v>
      </c>
      <c r="F4">
        <v>0.47260455139702251</v>
      </c>
      <c r="G4">
        <v>1</v>
      </c>
      <c r="H4">
        <v>1</v>
      </c>
      <c r="I4">
        <v>1</v>
      </c>
      <c r="J4">
        <v>1</v>
      </c>
      <c r="K4">
        <v>68.66</v>
      </c>
      <c r="L4">
        <v>20.18</v>
      </c>
      <c r="M4">
        <v>24.55</v>
      </c>
      <c r="N4">
        <v>49.74</v>
      </c>
    </row>
    <row r="5" spans="1:14" x14ac:dyDescent="0.25">
      <c r="A5">
        <v>4</v>
      </c>
      <c r="B5">
        <v>0.5</v>
      </c>
      <c r="C5">
        <v>0.94732133535924345</v>
      </c>
      <c r="D5">
        <v>7.2103517063392866E-2</v>
      </c>
      <c r="E5">
        <v>0.15970084286751191</v>
      </c>
      <c r="F5">
        <v>0.52895058389195404</v>
      </c>
      <c r="G5">
        <v>1</v>
      </c>
      <c r="H5">
        <v>1</v>
      </c>
      <c r="I5">
        <v>1</v>
      </c>
      <c r="J5">
        <v>1</v>
      </c>
      <c r="K5">
        <v>74.7</v>
      </c>
      <c r="L5">
        <v>28.24</v>
      </c>
      <c r="M5">
        <v>32.5</v>
      </c>
      <c r="N5">
        <v>52.98</v>
      </c>
    </row>
    <row r="6" spans="1:14" x14ac:dyDescent="0.25">
      <c r="A6">
        <v>5</v>
      </c>
      <c r="B6">
        <v>0.5</v>
      </c>
      <c r="C6">
        <v>1.00311120790082</v>
      </c>
      <c r="D6">
        <v>0.27645618591098309</v>
      </c>
      <c r="E6">
        <v>0.2413180682920206</v>
      </c>
      <c r="F6">
        <v>0.63375355796501509</v>
      </c>
      <c r="G6">
        <v>1</v>
      </c>
      <c r="H6">
        <v>1</v>
      </c>
      <c r="I6">
        <v>1</v>
      </c>
      <c r="J6">
        <v>1</v>
      </c>
      <c r="K6">
        <v>77.05</v>
      </c>
      <c r="L6">
        <v>38.65</v>
      </c>
      <c r="M6">
        <v>36.75</v>
      </c>
      <c r="N6">
        <v>58.92</v>
      </c>
    </row>
    <row r="7" spans="1:14" x14ac:dyDescent="0.25">
      <c r="A7">
        <v>2</v>
      </c>
      <c r="B7">
        <v>0.19</v>
      </c>
      <c r="C7">
        <v>0.2019624381862466</v>
      </c>
      <c r="D7">
        <v>0.73398894149761618</v>
      </c>
      <c r="E7">
        <v>2.2411320697578532E-2</v>
      </c>
      <c r="F7">
        <v>0.37467651080669062</v>
      </c>
      <c r="G7">
        <v>1</v>
      </c>
      <c r="H7">
        <v>1</v>
      </c>
      <c r="I7">
        <v>1</v>
      </c>
      <c r="J7">
        <v>1</v>
      </c>
      <c r="K7">
        <v>34.67</v>
      </c>
      <c r="L7">
        <v>64.37</v>
      </c>
      <c r="M7">
        <v>25.98</v>
      </c>
      <c r="N7">
        <v>44.13</v>
      </c>
    </row>
    <row r="8" spans="1:14" x14ac:dyDescent="0.25">
      <c r="A8">
        <v>2</v>
      </c>
      <c r="B8">
        <v>0.5</v>
      </c>
      <c r="C8">
        <v>0.76789849152443013</v>
      </c>
      <c r="D8">
        <v>-0.26172914980845402</v>
      </c>
      <c r="E8">
        <v>-9.0732996238242117E-2</v>
      </c>
      <c r="F8">
        <v>0.41866397556212759</v>
      </c>
      <c r="G8">
        <v>1</v>
      </c>
      <c r="H8">
        <v>1</v>
      </c>
      <c r="I8">
        <v>1</v>
      </c>
      <c r="J8">
        <v>1</v>
      </c>
      <c r="K8">
        <v>66.14</v>
      </c>
      <c r="L8">
        <v>15.43</v>
      </c>
      <c r="M8">
        <v>21.29</v>
      </c>
      <c r="N8">
        <v>46.64</v>
      </c>
    </row>
    <row r="9" spans="1:14" x14ac:dyDescent="0.25">
      <c r="A9">
        <v>2</v>
      </c>
      <c r="B9">
        <v>0.99</v>
      </c>
      <c r="C9">
        <v>1.224347751283891</v>
      </c>
      <c r="D9">
        <v>-0.60959581881686786</v>
      </c>
      <c r="E9">
        <v>-0.23437228355177231</v>
      </c>
      <c r="F9">
        <v>0.46721891154789469</v>
      </c>
      <c r="G9">
        <v>1</v>
      </c>
      <c r="H9">
        <v>1</v>
      </c>
      <c r="I9">
        <v>1</v>
      </c>
      <c r="J9">
        <v>1</v>
      </c>
      <c r="K9">
        <v>84.82</v>
      </c>
      <c r="L9">
        <v>7.57</v>
      </c>
      <c r="M9">
        <v>16.27</v>
      </c>
      <c r="N9">
        <v>49.43</v>
      </c>
    </row>
    <row r="10" spans="1:14" x14ac:dyDescent="0.25">
      <c r="A10">
        <v>2</v>
      </c>
      <c r="B10">
        <v>1.49</v>
      </c>
      <c r="C10">
        <v>1.78025349022115</v>
      </c>
      <c r="D10">
        <v>-0.65230372820996729</v>
      </c>
      <c r="E10">
        <v>-0.52714761933160048</v>
      </c>
      <c r="F10">
        <v>0.60236401267877693</v>
      </c>
      <c r="G10">
        <v>1</v>
      </c>
      <c r="H10">
        <v>1</v>
      </c>
      <c r="I10">
        <v>1</v>
      </c>
      <c r="J10">
        <v>1</v>
      </c>
      <c r="K10">
        <v>95.26</v>
      </c>
      <c r="L10">
        <v>6.91</v>
      </c>
      <c r="M10">
        <v>9.01</v>
      </c>
      <c r="N10">
        <v>57.16</v>
      </c>
    </row>
    <row r="11" spans="1:14" x14ac:dyDescent="0.25">
      <c r="A11">
        <v>2</v>
      </c>
      <c r="B11">
        <v>1.79</v>
      </c>
      <c r="C11">
        <v>1.9074053552227761</v>
      </c>
      <c r="D11">
        <v>-1.574557366498176</v>
      </c>
      <c r="E11">
        <v>-0.56219097385209027</v>
      </c>
      <c r="F11">
        <v>0.8488269794820742</v>
      </c>
      <c r="G11">
        <v>1</v>
      </c>
      <c r="H11">
        <v>1</v>
      </c>
      <c r="I11">
        <v>1</v>
      </c>
      <c r="J11">
        <v>1</v>
      </c>
      <c r="K11">
        <v>96.42</v>
      </c>
      <c r="L11">
        <v>0.88</v>
      </c>
      <c r="M11">
        <v>8.3699999999999992</v>
      </c>
      <c r="N11">
        <v>70.180000000000007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defaultRowHeight="15" x14ac:dyDescent="0.25"/>
  <sheetData>
    <row r="1" spans="1:5" x14ac:dyDescent="0.25">
      <c r="B1" s="6" t="s">
        <v>31</v>
      </c>
      <c r="C1" s="6" t="s">
        <v>32</v>
      </c>
      <c r="D1" s="6" t="s">
        <v>33</v>
      </c>
      <c r="E1" s="6" t="s">
        <v>34</v>
      </c>
    </row>
    <row r="2" spans="1:5" x14ac:dyDescent="0.25">
      <c r="A2" s="6" t="s">
        <v>19</v>
      </c>
      <c r="B2">
        <v>1.923027797524254</v>
      </c>
      <c r="C2">
        <v>7.4853223698401292E-2</v>
      </c>
      <c r="D2">
        <v>-2.186903544290268</v>
      </c>
      <c r="E2">
        <v>6.2864096774320477E-7</v>
      </c>
    </row>
    <row r="3" spans="1:5" x14ac:dyDescent="0.25">
      <c r="A3" s="6" t="s">
        <v>21</v>
      </c>
      <c r="B3">
        <v>0.40934781349656968</v>
      </c>
      <c r="C3">
        <v>2.1843946138202071E-2</v>
      </c>
      <c r="D3">
        <v>-1.9088874245070619</v>
      </c>
      <c r="E3">
        <v>4.0077203456387607E-2</v>
      </c>
    </row>
    <row r="4" spans="1:5" x14ac:dyDescent="0.25">
      <c r="A4" s="6" t="s">
        <v>23</v>
      </c>
      <c r="B4">
        <v>0.31947915931938992</v>
      </c>
      <c r="C4">
        <v>2.9492740793582661E-2</v>
      </c>
      <c r="D4">
        <v>-1.8149894692393209</v>
      </c>
      <c r="E4">
        <v>1.113666030224005E-5</v>
      </c>
    </row>
    <row r="5" spans="1:5" x14ac:dyDescent="0.25">
      <c r="A5" s="6" t="s">
        <v>24</v>
      </c>
      <c r="B5">
        <v>0.78814835469677391</v>
      </c>
      <c r="C5">
        <v>1.012490330291782E-2</v>
      </c>
      <c r="D5">
        <v>-2.1064222769976211</v>
      </c>
      <c r="E5">
        <v>4.1511253479831678E-6</v>
      </c>
    </row>
    <row r="6" spans="1:5" x14ac:dyDescent="0.25">
      <c r="A6" s="6" t="s">
        <v>26</v>
      </c>
      <c r="B6">
        <v>1.0961473032578659</v>
      </c>
      <c r="C6">
        <v>5.8248148904600356E-9</v>
      </c>
      <c r="D6">
        <v>-2.316138292405574</v>
      </c>
      <c r="E6">
        <v>0.20823224027600179</v>
      </c>
    </row>
    <row r="7" spans="1:5" x14ac:dyDescent="0.25">
      <c r="A7" s="6" t="s">
        <v>28</v>
      </c>
      <c r="B7">
        <v>1.689088275988571</v>
      </c>
      <c r="C7">
        <v>5.773985786665127E-2</v>
      </c>
      <c r="D7">
        <v>-2.3544739532365888</v>
      </c>
      <c r="E7">
        <v>1.0917406253311379E-6</v>
      </c>
    </row>
    <row r="8" spans="1:5" x14ac:dyDescent="0.25">
      <c r="A8" s="6" t="s">
        <v>20</v>
      </c>
      <c r="B8">
        <v>0.54092509985878701</v>
      </c>
      <c r="C8">
        <v>2.2249778860812559E-7</v>
      </c>
      <c r="D8">
        <v>-2.5048917635523988</v>
      </c>
      <c r="E8">
        <v>0.81413522217104894</v>
      </c>
    </row>
    <row r="9" spans="1:5" x14ac:dyDescent="0.25">
      <c r="A9" s="6" t="s">
        <v>22</v>
      </c>
      <c r="B9">
        <v>0.55355051558094315</v>
      </c>
      <c r="C9">
        <v>1.2954555988138559E-7</v>
      </c>
      <c r="D9">
        <v>-3.0154257342566648</v>
      </c>
      <c r="E9">
        <v>1.532984952799564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6"/>
  <sheetViews>
    <sheetView topLeftCell="A28" workbookViewId="0">
      <selection activeCell="L63" sqref="L63"/>
    </sheetView>
  </sheetViews>
  <sheetFormatPr defaultRowHeight="15" x14ac:dyDescent="0.25"/>
  <cols>
    <col min="1" max="1" width="11.85546875" bestFit="1" customWidth="1"/>
    <col min="6" max="6" width="10.7109375" bestFit="1" customWidth="1"/>
  </cols>
  <sheetData>
    <row r="1" spans="1:7" x14ac:dyDescent="0.25">
      <c r="A1" t="s">
        <v>51</v>
      </c>
      <c r="B1" t="s">
        <v>1</v>
      </c>
      <c r="C1" t="s">
        <v>0</v>
      </c>
      <c r="D1" t="s">
        <v>52</v>
      </c>
      <c r="E1" t="s">
        <v>53</v>
      </c>
      <c r="F1" t="s">
        <v>54</v>
      </c>
      <c r="G1" t="s">
        <v>55</v>
      </c>
    </row>
    <row r="2" spans="1:7" x14ac:dyDescent="0.25">
      <c r="A2">
        <v>1.5</v>
      </c>
      <c r="B2">
        <v>0.75908372827804105</v>
      </c>
      <c r="C2">
        <v>5</v>
      </c>
      <c r="D2">
        <v>3.3548387096774199</v>
      </c>
      <c r="E2">
        <v>3.4712950600801068E-2</v>
      </c>
      <c r="F2">
        <v>-1.459508469728648</v>
      </c>
      <c r="G2">
        <v>1</v>
      </c>
    </row>
    <row r="3" spans="1:7" x14ac:dyDescent="0.25">
      <c r="A3">
        <v>1.5</v>
      </c>
      <c r="B3">
        <v>0.922432859399684</v>
      </c>
      <c r="C3">
        <v>5</v>
      </c>
      <c r="D3">
        <v>3.87096774193548</v>
      </c>
      <c r="E3">
        <v>4.0268456375838882E-2</v>
      </c>
      <c r="F3">
        <v>-1.3950350180286311</v>
      </c>
      <c r="G3">
        <v>1</v>
      </c>
    </row>
    <row r="4" spans="1:7" x14ac:dyDescent="0.25">
      <c r="A4">
        <v>1.5</v>
      </c>
      <c r="B4">
        <v>1.24391785150078</v>
      </c>
      <c r="C4">
        <v>5</v>
      </c>
      <c r="D4">
        <v>6.9677419354838497</v>
      </c>
      <c r="E4">
        <v>7.4895977808598913E-2</v>
      </c>
      <c r="F4">
        <v>-1.1255415048964621</v>
      </c>
      <c r="G4">
        <v>1</v>
      </c>
    </row>
    <row r="5" spans="1:7" x14ac:dyDescent="0.25">
      <c r="A5">
        <v>1.5</v>
      </c>
      <c r="B5">
        <v>1.4541864139020499</v>
      </c>
      <c r="C5">
        <v>5</v>
      </c>
      <c r="D5">
        <v>17.5483870967741</v>
      </c>
      <c r="E5">
        <v>0.21283255086071851</v>
      </c>
      <c r="F5">
        <v>-0.67196194978818546</v>
      </c>
      <c r="G5">
        <v>1</v>
      </c>
    </row>
    <row r="6" spans="1:7" x14ac:dyDescent="0.25">
      <c r="A6">
        <v>1.5</v>
      </c>
      <c r="B6">
        <v>1.5984202211690299</v>
      </c>
      <c r="C6">
        <v>5</v>
      </c>
      <c r="D6">
        <v>25.2903225806451</v>
      </c>
      <c r="E6">
        <v>0.33851468048359129</v>
      </c>
      <c r="F6">
        <v>-0.47042249237096162</v>
      </c>
      <c r="G6">
        <v>1</v>
      </c>
    </row>
    <row r="7" spans="1:7" x14ac:dyDescent="0.25">
      <c r="A7">
        <v>1.5</v>
      </c>
      <c r="B7">
        <v>1.81216429699842</v>
      </c>
      <c r="C7">
        <v>5</v>
      </c>
      <c r="D7">
        <v>32.774193548387103</v>
      </c>
      <c r="E7">
        <v>0.48752399232245702</v>
      </c>
      <c r="F7">
        <v>-0.31200400667958628</v>
      </c>
      <c r="G7">
        <v>1</v>
      </c>
    </row>
    <row r="8" spans="1:7" x14ac:dyDescent="0.25">
      <c r="A8">
        <v>1.25</v>
      </c>
      <c r="B8">
        <v>0.75908372827804105</v>
      </c>
      <c r="C8">
        <v>5</v>
      </c>
      <c r="D8">
        <v>6.9677419354838497</v>
      </c>
      <c r="E8">
        <v>7.4895977808598913E-2</v>
      </c>
      <c r="F8">
        <v>-1.1255415048964621</v>
      </c>
      <c r="G8">
        <v>8</v>
      </c>
    </row>
    <row r="9" spans="1:7" x14ac:dyDescent="0.25">
      <c r="A9">
        <v>1.25</v>
      </c>
      <c r="B9">
        <v>0.89810426540284305</v>
      </c>
      <c r="C9">
        <v>5</v>
      </c>
      <c r="D9">
        <v>8</v>
      </c>
      <c r="E9">
        <v>8.6956521739130432E-2</v>
      </c>
      <c r="F9">
        <v>-1.060697840353612</v>
      </c>
      <c r="G9">
        <v>8</v>
      </c>
    </row>
    <row r="10" spans="1:7" x14ac:dyDescent="0.25">
      <c r="A10">
        <v>1.25</v>
      </c>
      <c r="B10">
        <v>1.23522906793048</v>
      </c>
      <c r="C10">
        <v>5</v>
      </c>
      <c r="D10">
        <v>20.387096774193498</v>
      </c>
      <c r="E10">
        <v>0.25607779578606082</v>
      </c>
      <c r="F10">
        <v>-0.59162807707882048</v>
      </c>
      <c r="G10">
        <v>8</v>
      </c>
    </row>
    <row r="11" spans="1:7" x14ac:dyDescent="0.25">
      <c r="A11">
        <v>1.25</v>
      </c>
      <c r="B11">
        <v>1.3690363349131101</v>
      </c>
      <c r="C11">
        <v>5</v>
      </c>
      <c r="D11">
        <v>30.451612903225701</v>
      </c>
      <c r="E11">
        <v>0.43784786641929291</v>
      </c>
      <c r="F11">
        <v>-0.35867676221663419</v>
      </c>
      <c r="G11">
        <v>8</v>
      </c>
    </row>
    <row r="12" spans="1:7" x14ac:dyDescent="0.25">
      <c r="A12">
        <v>1.25</v>
      </c>
      <c r="B12">
        <v>1.5897314375987299</v>
      </c>
      <c r="C12">
        <v>5</v>
      </c>
      <c r="D12">
        <v>39.4838709677419</v>
      </c>
      <c r="E12">
        <v>0.65245202558635296</v>
      </c>
      <c r="F12">
        <v>-0.18545141623350389</v>
      </c>
      <c r="G12">
        <v>8</v>
      </c>
    </row>
    <row r="13" spans="1:7" x14ac:dyDescent="0.25">
      <c r="A13">
        <v>1.25</v>
      </c>
      <c r="B13">
        <v>1.76524486571879</v>
      </c>
      <c r="C13">
        <v>5</v>
      </c>
      <c r="D13">
        <v>45.677419354838698</v>
      </c>
      <c r="E13">
        <v>0.84085510688836063</v>
      </c>
      <c r="F13">
        <v>-7.5278833809880707E-2</v>
      </c>
      <c r="G13">
        <v>8</v>
      </c>
    </row>
    <row r="14" spans="1:7" x14ac:dyDescent="0.25">
      <c r="A14">
        <v>1</v>
      </c>
      <c r="B14">
        <v>0.75039494470774004</v>
      </c>
      <c r="C14">
        <v>5</v>
      </c>
      <c r="D14">
        <v>12.1290322580645</v>
      </c>
      <c r="E14">
        <v>0.13803230543318629</v>
      </c>
      <c r="F14">
        <v>-0.86001925831308712</v>
      </c>
      <c r="G14">
        <v>8</v>
      </c>
    </row>
    <row r="15" spans="1:7" x14ac:dyDescent="0.25">
      <c r="A15">
        <v>1</v>
      </c>
      <c r="B15">
        <v>0.89984202211690301</v>
      </c>
      <c r="C15">
        <v>5</v>
      </c>
      <c r="D15">
        <v>20.645161290322498</v>
      </c>
      <c r="E15">
        <v>0.26016260162601501</v>
      </c>
      <c r="F15">
        <v>-0.58475513311949412</v>
      </c>
      <c r="G15">
        <v>8</v>
      </c>
    </row>
    <row r="16" spans="1:7" x14ac:dyDescent="0.25">
      <c r="A16">
        <v>1</v>
      </c>
      <c r="B16">
        <v>1.20047393364928</v>
      </c>
      <c r="C16">
        <v>5</v>
      </c>
      <c r="D16">
        <v>31.225806451612801</v>
      </c>
      <c r="E16">
        <v>0.45403377110693971</v>
      </c>
      <c r="F16">
        <v>-0.34291184304614308</v>
      </c>
      <c r="G16">
        <v>8</v>
      </c>
    </row>
    <row r="17" spans="1:7" x14ac:dyDescent="0.25">
      <c r="A17">
        <v>1</v>
      </c>
      <c r="B17">
        <v>1.4020537124802499</v>
      </c>
      <c r="C17">
        <v>5</v>
      </c>
      <c r="D17">
        <v>42.580645161290299</v>
      </c>
      <c r="E17">
        <v>0.74157303370786443</v>
      </c>
      <c r="F17">
        <v>-0.12984607110304461</v>
      </c>
      <c r="G17">
        <v>8</v>
      </c>
    </row>
    <row r="18" spans="1:7" x14ac:dyDescent="0.25">
      <c r="A18">
        <v>1</v>
      </c>
      <c r="B18">
        <v>1.6018957345971501</v>
      </c>
      <c r="C18">
        <v>5</v>
      </c>
      <c r="D18">
        <v>52.129032258064498</v>
      </c>
      <c r="E18">
        <v>1.0889487870619941</v>
      </c>
      <c r="F18">
        <v>3.7007455495558783E-2</v>
      </c>
      <c r="G18">
        <v>8</v>
      </c>
    </row>
    <row r="19" spans="1:7" x14ac:dyDescent="0.25">
      <c r="A19">
        <v>0.75</v>
      </c>
      <c r="B19">
        <v>0.76951026856240101</v>
      </c>
      <c r="C19">
        <v>5</v>
      </c>
      <c r="D19">
        <v>19.612903225806399</v>
      </c>
      <c r="E19">
        <v>0.24398073836275999</v>
      </c>
      <c r="F19">
        <v>-0.61264445871439843</v>
      </c>
      <c r="G19">
        <v>1</v>
      </c>
    </row>
    <row r="20" spans="1:7" x14ac:dyDescent="0.25">
      <c r="A20">
        <v>0.75</v>
      </c>
      <c r="B20">
        <v>0.87725118483412301</v>
      </c>
      <c r="C20">
        <v>5</v>
      </c>
      <c r="D20">
        <v>28.129032258064498</v>
      </c>
      <c r="E20">
        <v>0.3913824057450625</v>
      </c>
      <c r="F20">
        <v>-0.40739870156912439</v>
      </c>
      <c r="G20">
        <v>1</v>
      </c>
    </row>
    <row r="21" spans="1:7" x14ac:dyDescent="0.25">
      <c r="A21">
        <v>0.75</v>
      </c>
      <c r="B21">
        <v>1.25608214849921</v>
      </c>
      <c r="C21">
        <v>5</v>
      </c>
      <c r="D21">
        <v>41.0322580645161</v>
      </c>
      <c r="E21">
        <v>0.69584245076586348</v>
      </c>
      <c r="F21">
        <v>-0.15748908008541809</v>
      </c>
      <c r="G21">
        <v>1</v>
      </c>
    </row>
    <row r="22" spans="1:7" x14ac:dyDescent="0.25">
      <c r="A22">
        <v>0.75</v>
      </c>
      <c r="B22">
        <v>1.4037914691943101</v>
      </c>
      <c r="C22">
        <v>5</v>
      </c>
      <c r="D22">
        <v>52.645161290322498</v>
      </c>
      <c r="E22">
        <v>1.111716621253402</v>
      </c>
      <c r="F22">
        <v>4.5994098837789217E-2</v>
      </c>
      <c r="G22">
        <v>1</v>
      </c>
    </row>
    <row r="23" spans="1:7" x14ac:dyDescent="0.25">
      <c r="A23">
        <v>0.75</v>
      </c>
      <c r="B23">
        <v>1.56887835703001</v>
      </c>
      <c r="C23">
        <v>5</v>
      </c>
      <c r="D23">
        <v>59.096774193548299</v>
      </c>
      <c r="E23">
        <v>1.444794952681383</v>
      </c>
      <c r="F23">
        <v>0.15980621578611609</v>
      </c>
      <c r="G23">
        <v>1</v>
      </c>
    </row>
    <row r="24" spans="1:7" x14ac:dyDescent="0.25">
      <c r="A24">
        <v>0.5</v>
      </c>
      <c r="B24">
        <v>0.74865718799367997</v>
      </c>
      <c r="C24">
        <v>5</v>
      </c>
      <c r="D24">
        <v>25.5483870967741</v>
      </c>
      <c r="E24">
        <v>0.3431542461005182</v>
      </c>
      <c r="F24">
        <v>-0.46451062289420247</v>
      </c>
      <c r="G24" s="7">
        <v>2</v>
      </c>
    </row>
    <row r="25" spans="1:7" x14ac:dyDescent="0.25">
      <c r="A25">
        <v>0.5</v>
      </c>
      <c r="B25">
        <v>0.90157977883096296</v>
      </c>
      <c r="C25">
        <v>5</v>
      </c>
      <c r="D25">
        <v>36.903225806451601</v>
      </c>
      <c r="E25">
        <v>0.58486707566462137</v>
      </c>
      <c r="F25">
        <v>-0.2329428259945775</v>
      </c>
      <c r="G25" s="7">
        <v>2</v>
      </c>
    </row>
    <row r="26" spans="1:7" x14ac:dyDescent="0.25">
      <c r="A26">
        <v>0.5</v>
      </c>
      <c r="B26">
        <v>1.20047393364928</v>
      </c>
      <c r="C26">
        <v>5</v>
      </c>
      <c r="D26">
        <v>47.4838709677419</v>
      </c>
      <c r="E26">
        <v>0.90417690417690288</v>
      </c>
      <c r="F26">
        <v>-4.3746590551702998E-2</v>
      </c>
      <c r="G26" s="7">
        <v>2</v>
      </c>
    </row>
    <row r="27" spans="1:7" x14ac:dyDescent="0.25">
      <c r="A27">
        <v>0.5</v>
      </c>
      <c r="B27">
        <v>1.4003159557661899</v>
      </c>
      <c r="C27">
        <v>5</v>
      </c>
      <c r="D27">
        <v>62.193548387096698</v>
      </c>
      <c r="E27">
        <v>1.6450511945392441</v>
      </c>
      <c r="F27">
        <v>0.21617941788473871</v>
      </c>
      <c r="G27" s="7">
        <v>2</v>
      </c>
    </row>
    <row r="28" spans="1:7" x14ac:dyDescent="0.25">
      <c r="A28">
        <v>0.5</v>
      </c>
      <c r="B28">
        <v>1.6001579778830901</v>
      </c>
      <c r="C28">
        <v>5</v>
      </c>
      <c r="D28">
        <v>73.0322580645161</v>
      </c>
      <c r="E28">
        <v>2.7081339712918622</v>
      </c>
      <c r="F28">
        <v>0.43267014507721679</v>
      </c>
      <c r="G28" s="7">
        <v>2</v>
      </c>
    </row>
    <row r="29" spans="1:7" s="7" customFormat="1" x14ac:dyDescent="0.25">
      <c r="A29" s="7">
        <v>0.25</v>
      </c>
      <c r="B29" s="7">
        <v>0.73475513428119998</v>
      </c>
      <c r="C29" s="7">
        <v>5</v>
      </c>
      <c r="D29" s="7">
        <v>33.5483870967741</v>
      </c>
      <c r="E29" s="7">
        <v>0.50485436893203661</v>
      </c>
      <c r="F29" s="7">
        <v>-0.29683388107037489</v>
      </c>
      <c r="G29" s="7">
        <v>10</v>
      </c>
    </row>
    <row r="30" spans="1:7" s="7" customFormat="1" x14ac:dyDescent="0.25">
      <c r="A30" s="7">
        <v>0.25</v>
      </c>
      <c r="B30" s="7">
        <v>0.90157977883096296</v>
      </c>
      <c r="C30" s="7">
        <v>5</v>
      </c>
      <c r="D30" s="7">
        <v>45.935483870967701</v>
      </c>
      <c r="E30" s="7">
        <v>0.84964200477326834</v>
      </c>
      <c r="F30" s="7">
        <v>-7.0764024993420827E-2</v>
      </c>
      <c r="G30" s="7">
        <v>10</v>
      </c>
    </row>
    <row r="31" spans="1:7" s="7" customFormat="1" x14ac:dyDescent="0.25">
      <c r="A31" s="7">
        <v>0.25</v>
      </c>
      <c r="B31" s="7">
        <v>1.1170616113744001</v>
      </c>
      <c r="C31" s="7">
        <v>5</v>
      </c>
      <c r="D31" s="7">
        <v>55.741935483870897</v>
      </c>
      <c r="E31" s="7">
        <v>1.259475218658888</v>
      </c>
      <c r="F31" s="7">
        <v>0.1001896267721403</v>
      </c>
      <c r="G31" s="7">
        <v>10</v>
      </c>
    </row>
    <row r="32" spans="1:7" s="7" customFormat="1" x14ac:dyDescent="0.25">
      <c r="A32" s="7">
        <v>0.25</v>
      </c>
      <c r="B32" s="7">
        <v>1.38988941548183</v>
      </c>
      <c r="C32" s="7">
        <v>5</v>
      </c>
      <c r="D32" s="7">
        <v>72.516129032257993</v>
      </c>
      <c r="E32" s="7">
        <v>2.6384976525821502</v>
      </c>
      <c r="F32" s="7">
        <v>0.42135671213032178</v>
      </c>
      <c r="G32" s="7">
        <v>10</v>
      </c>
    </row>
    <row r="33" spans="1:7" s="7" customFormat="1" x14ac:dyDescent="0.25">
      <c r="A33" s="7">
        <v>0.25</v>
      </c>
      <c r="B33" s="7">
        <v>1.57930489731437</v>
      </c>
      <c r="C33" s="7">
        <v>5</v>
      </c>
      <c r="D33" s="7">
        <v>83.354838709677395</v>
      </c>
      <c r="E33" s="7">
        <v>5.0077519379844873</v>
      </c>
      <c r="F33" s="7">
        <v>0.69964280769583431</v>
      </c>
      <c r="G33" s="7">
        <v>10</v>
      </c>
    </row>
    <row r="34" spans="1:7" s="7" customFormat="1" x14ac:dyDescent="0.25">
      <c r="A34" s="7">
        <v>0</v>
      </c>
      <c r="B34" s="7">
        <v>0.5</v>
      </c>
      <c r="C34" s="7">
        <v>1</v>
      </c>
      <c r="D34" s="7">
        <v>8.43</v>
      </c>
      <c r="E34" s="7">
        <v>0.27618215572785848</v>
      </c>
      <c r="F34" s="7">
        <v>-0.55880438484237782</v>
      </c>
      <c r="G34" s="7">
        <v>20</v>
      </c>
    </row>
    <row r="35" spans="1:7" s="7" customFormat="1" x14ac:dyDescent="0.25">
      <c r="A35" s="7">
        <v>0</v>
      </c>
      <c r="B35" s="7">
        <v>0.5</v>
      </c>
      <c r="C35" s="7">
        <v>2</v>
      </c>
      <c r="D35" s="7">
        <v>15.59</v>
      </c>
      <c r="E35" s="7">
        <v>0.55408126999170715</v>
      </c>
      <c r="F35" s="7">
        <v>-0.25642653036117807</v>
      </c>
      <c r="G35" s="7">
        <v>20</v>
      </c>
    </row>
    <row r="36" spans="1:7" s="7" customFormat="1" x14ac:dyDescent="0.25">
      <c r="A36" s="7">
        <v>0</v>
      </c>
      <c r="B36" s="7">
        <v>0.5</v>
      </c>
      <c r="C36" s="7">
        <v>3</v>
      </c>
      <c r="D36" s="7">
        <v>20.18</v>
      </c>
      <c r="E36" s="7">
        <v>0.75845652718616896</v>
      </c>
      <c r="F36" s="7">
        <v>-0.12006930682745021</v>
      </c>
      <c r="G36" s="7">
        <v>20</v>
      </c>
    </row>
    <row r="37" spans="1:7" s="7" customFormat="1" x14ac:dyDescent="0.25">
      <c r="A37" s="7">
        <v>0</v>
      </c>
      <c r="B37" s="7">
        <v>0.5</v>
      </c>
      <c r="C37" s="7">
        <v>4</v>
      </c>
      <c r="D37" s="7">
        <v>28.24</v>
      </c>
      <c r="E37" s="7">
        <v>1.1806020066889631</v>
      </c>
      <c r="F37" s="7">
        <v>7.2103517063392866E-2</v>
      </c>
      <c r="G37" s="7">
        <v>20</v>
      </c>
    </row>
    <row r="38" spans="1:7" s="7" customFormat="1" x14ac:dyDescent="0.25">
      <c r="A38" s="7">
        <v>0</v>
      </c>
      <c r="B38" s="7">
        <v>0.5</v>
      </c>
      <c r="C38" s="7">
        <v>5</v>
      </c>
      <c r="D38" s="7">
        <v>38.65</v>
      </c>
      <c r="E38" s="7">
        <v>1.889975550122249</v>
      </c>
      <c r="F38" s="7">
        <v>0.27645618591098309</v>
      </c>
      <c r="G38" s="7">
        <v>20</v>
      </c>
    </row>
    <row r="39" spans="1:7" x14ac:dyDescent="0.25">
      <c r="A39">
        <v>0</v>
      </c>
      <c r="B39">
        <v>0.19</v>
      </c>
      <c r="C39">
        <v>2</v>
      </c>
      <c r="D39">
        <v>64.37</v>
      </c>
      <c r="E39">
        <v>5.4198708953129398</v>
      </c>
      <c r="F39">
        <v>0.73398894149761618</v>
      </c>
      <c r="G39">
        <v>0</v>
      </c>
    </row>
    <row r="40" spans="1:7" x14ac:dyDescent="0.25">
      <c r="A40">
        <v>0</v>
      </c>
      <c r="B40">
        <v>0.5</v>
      </c>
      <c r="C40">
        <v>2</v>
      </c>
      <c r="D40">
        <v>15.43</v>
      </c>
      <c r="E40">
        <v>0.54735721887194044</v>
      </c>
      <c r="F40">
        <v>-0.26172914980845402</v>
      </c>
      <c r="G40">
        <v>0</v>
      </c>
    </row>
    <row r="41" spans="1:7" x14ac:dyDescent="0.25">
      <c r="A41">
        <v>0</v>
      </c>
      <c r="B41">
        <v>0.99</v>
      </c>
      <c r="C41">
        <v>2</v>
      </c>
      <c r="D41">
        <v>7.57</v>
      </c>
      <c r="E41">
        <v>0.2456994482310938</v>
      </c>
      <c r="F41">
        <v>-0.60959581881686786</v>
      </c>
      <c r="G41">
        <v>0</v>
      </c>
    </row>
    <row r="42" spans="1:7" x14ac:dyDescent="0.25">
      <c r="A42">
        <v>0</v>
      </c>
      <c r="B42">
        <v>1.49</v>
      </c>
      <c r="C42">
        <v>2</v>
      </c>
      <c r="D42">
        <v>6.91</v>
      </c>
      <c r="E42">
        <v>0.22268772155978089</v>
      </c>
      <c r="F42">
        <v>-0.65230372820996729</v>
      </c>
      <c r="G42">
        <v>0</v>
      </c>
    </row>
    <row r="43" spans="1:7" x14ac:dyDescent="0.25">
      <c r="A43">
        <v>0</v>
      </c>
      <c r="B43">
        <v>1.79</v>
      </c>
      <c r="C43">
        <v>2</v>
      </c>
      <c r="D43">
        <v>0.88</v>
      </c>
      <c r="E43">
        <v>2.663438256658596E-2</v>
      </c>
      <c r="F43">
        <v>-1.574557366498176</v>
      </c>
      <c r="G43">
        <v>0</v>
      </c>
    </row>
    <row r="44" spans="1:7" x14ac:dyDescent="0.25">
      <c r="A44">
        <v>0</v>
      </c>
      <c r="B44">
        <v>0.02</v>
      </c>
      <c r="C44">
        <v>3.3</v>
      </c>
      <c r="D44">
        <v>0.1</v>
      </c>
      <c r="E44">
        <f>D44/(100-D44)</f>
        <v>1.001001001001001E-3</v>
      </c>
      <c r="F44">
        <f>LOG10(E44)</f>
        <v>-2.9995654882259823</v>
      </c>
      <c r="G44">
        <v>0</v>
      </c>
    </row>
    <row r="45" spans="1:7" x14ac:dyDescent="0.25">
      <c r="A45">
        <v>0</v>
      </c>
      <c r="B45">
        <v>0.13</v>
      </c>
      <c r="C45">
        <v>3.3</v>
      </c>
      <c r="D45">
        <v>24</v>
      </c>
      <c r="E45">
        <f t="shared" ref="E45:E56" si="0">D45/(100-D45)</f>
        <v>0.31578947368421051</v>
      </c>
      <c r="F45">
        <f t="shared" ref="F45:F56" si="1">LOG10(E45)</f>
        <v>-0.50060235056918534</v>
      </c>
      <c r="G45">
        <v>8</v>
      </c>
    </row>
    <row r="46" spans="1:7" x14ac:dyDescent="0.25">
      <c r="A46">
        <v>0</v>
      </c>
      <c r="B46">
        <v>0.33</v>
      </c>
      <c r="C46">
        <v>3.3</v>
      </c>
      <c r="D46">
        <v>55</v>
      </c>
      <c r="E46">
        <f t="shared" si="0"/>
        <v>1.2222222222222223</v>
      </c>
      <c r="F46">
        <f t="shared" si="1"/>
        <v>8.71501757189002E-2</v>
      </c>
      <c r="G46">
        <v>8</v>
      </c>
    </row>
    <row r="47" spans="1:7" x14ac:dyDescent="0.25">
      <c r="A47">
        <v>0</v>
      </c>
      <c r="B47">
        <v>0.43</v>
      </c>
      <c r="C47">
        <v>3.3</v>
      </c>
      <c r="D47">
        <v>71</v>
      </c>
      <c r="E47">
        <f t="shared" si="0"/>
        <v>2.4482758620689653</v>
      </c>
      <c r="F47">
        <f t="shared" si="1"/>
        <v>0.38886035082011916</v>
      </c>
      <c r="G47">
        <v>8</v>
      </c>
    </row>
    <row r="48" spans="1:7" x14ac:dyDescent="0.25">
      <c r="A48">
        <v>0</v>
      </c>
      <c r="B48">
        <v>0.6</v>
      </c>
      <c r="C48">
        <v>3.3</v>
      </c>
      <c r="D48">
        <v>84</v>
      </c>
      <c r="E48">
        <f t="shared" si="0"/>
        <v>5.25</v>
      </c>
      <c r="F48">
        <f t="shared" si="1"/>
        <v>0.72015930340595691</v>
      </c>
      <c r="G48">
        <v>8</v>
      </c>
    </row>
    <row r="49" spans="1:7" x14ac:dyDescent="0.25">
      <c r="A49">
        <v>0</v>
      </c>
      <c r="B49">
        <v>0.74</v>
      </c>
      <c r="C49">
        <v>3.3</v>
      </c>
      <c r="D49">
        <v>93</v>
      </c>
      <c r="E49">
        <f t="shared" si="0"/>
        <v>13.285714285714286</v>
      </c>
      <c r="F49">
        <f t="shared" si="1"/>
        <v>1.1233849085396783</v>
      </c>
      <c r="G49">
        <v>8</v>
      </c>
    </row>
    <row r="50" spans="1:7" x14ac:dyDescent="0.25">
      <c r="A50">
        <v>0</v>
      </c>
      <c r="B50">
        <v>0.98</v>
      </c>
      <c r="C50">
        <v>3.3</v>
      </c>
      <c r="D50">
        <v>97</v>
      </c>
      <c r="E50">
        <f t="shared" si="0"/>
        <v>32.333333333333336</v>
      </c>
      <c r="F50">
        <f t="shared" si="1"/>
        <v>1.5096504795465824</v>
      </c>
      <c r="G50">
        <v>8</v>
      </c>
    </row>
    <row r="51" spans="1:7" x14ac:dyDescent="0.25">
      <c r="A51">
        <v>0</v>
      </c>
      <c r="B51">
        <v>1.1200000000000001</v>
      </c>
      <c r="C51">
        <v>3.3</v>
      </c>
      <c r="D51">
        <v>98.6</v>
      </c>
      <c r="E51">
        <f t="shared" si="0"/>
        <v>70.428571428571132</v>
      </c>
      <c r="F51">
        <f t="shared" si="1"/>
        <v>1.8477488792629713</v>
      </c>
      <c r="G51">
        <v>8</v>
      </c>
    </row>
    <row r="52" spans="1:7" x14ac:dyDescent="0.25">
      <c r="A52">
        <v>0</v>
      </c>
      <c r="B52">
        <v>1.22</v>
      </c>
      <c r="C52">
        <v>3.3</v>
      </c>
      <c r="D52">
        <v>99.3</v>
      </c>
      <c r="E52">
        <f t="shared" si="0"/>
        <v>141.85714285714226</v>
      </c>
      <c r="F52">
        <f t="shared" si="1"/>
        <v>2.1518512084811223</v>
      </c>
      <c r="G52">
        <v>8</v>
      </c>
    </row>
    <row r="53" spans="1:7" x14ac:dyDescent="0.25">
      <c r="A53">
        <v>0</v>
      </c>
      <c r="B53">
        <v>1.24</v>
      </c>
      <c r="C53">
        <v>3.3</v>
      </c>
      <c r="D53">
        <v>99.4</v>
      </c>
      <c r="E53">
        <f t="shared" si="0"/>
        <v>165.66666666666825</v>
      </c>
      <c r="F53">
        <f t="shared" si="1"/>
        <v>2.2192351340136738</v>
      </c>
      <c r="G53">
        <v>8</v>
      </c>
    </row>
    <row r="54" spans="1:7" x14ac:dyDescent="0.25">
      <c r="A54">
        <v>0</v>
      </c>
      <c r="B54">
        <v>1.36</v>
      </c>
      <c r="C54">
        <v>3.3</v>
      </c>
      <c r="D54">
        <v>99.7</v>
      </c>
      <c r="E54">
        <f t="shared" si="0"/>
        <v>332.3333333333365</v>
      </c>
      <c r="F54">
        <f t="shared" si="1"/>
        <v>2.5215739035919973</v>
      </c>
      <c r="G54">
        <v>8</v>
      </c>
    </row>
    <row r="55" spans="1:7" x14ac:dyDescent="0.25">
      <c r="A55">
        <v>0</v>
      </c>
      <c r="B55">
        <v>1.65</v>
      </c>
      <c r="C55">
        <v>3.3</v>
      </c>
      <c r="D55">
        <v>99.9</v>
      </c>
      <c r="E55">
        <f t="shared" si="0"/>
        <v>999.00000000005684</v>
      </c>
      <c r="F55">
        <f t="shared" si="1"/>
        <v>2.9995654882260072</v>
      </c>
      <c r="G55">
        <v>8</v>
      </c>
    </row>
    <row r="56" spans="1:7" x14ac:dyDescent="0.25">
      <c r="A56">
        <v>0</v>
      </c>
      <c r="B56">
        <v>1.94</v>
      </c>
      <c r="C56">
        <v>3.3</v>
      </c>
      <c r="D56">
        <v>99.9</v>
      </c>
      <c r="E56">
        <f t="shared" si="0"/>
        <v>999.00000000005684</v>
      </c>
      <c r="F56">
        <f t="shared" si="1"/>
        <v>2.9995654882260072</v>
      </c>
      <c r="G56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0A37-8650-4215-A096-B0336A7BDE3B}">
  <dimension ref="A1:H43"/>
  <sheetViews>
    <sheetView workbookViewId="0">
      <selection activeCell="I2" sqref="I2"/>
    </sheetView>
  </sheetViews>
  <sheetFormatPr defaultRowHeight="15" x14ac:dyDescent="0.25"/>
  <cols>
    <col min="1" max="1" width="11.85546875" bestFit="1" customWidth="1"/>
    <col min="6" max="6" width="10.7109375" bestFit="1" customWidth="1"/>
  </cols>
  <sheetData>
    <row r="1" spans="1:8" x14ac:dyDescent="0.25">
      <c r="A1" t="s">
        <v>51</v>
      </c>
      <c r="B1" t="s">
        <v>1</v>
      </c>
      <c r="C1" t="s">
        <v>0</v>
      </c>
      <c r="D1" t="s">
        <v>52</v>
      </c>
      <c r="E1" t="s">
        <v>53</v>
      </c>
      <c r="F1" t="s">
        <v>54</v>
      </c>
      <c r="G1" t="s">
        <v>55</v>
      </c>
      <c r="H1" t="s">
        <v>64</v>
      </c>
    </row>
    <row r="2" spans="1:8" x14ac:dyDescent="0.25">
      <c r="A2">
        <v>1.5</v>
      </c>
      <c r="B2">
        <v>0.75908372827804105</v>
      </c>
      <c r="C2">
        <v>5</v>
      </c>
      <c r="D2">
        <v>3.3548387096774199</v>
      </c>
      <c r="E2">
        <v>3.4712950600801068E-2</v>
      </c>
      <c r="F2">
        <v>-1.459508469728648</v>
      </c>
      <c r="G2">
        <v>1</v>
      </c>
      <c r="H2">
        <v>1</v>
      </c>
    </row>
    <row r="3" spans="1:8" x14ac:dyDescent="0.25">
      <c r="A3">
        <v>1.5</v>
      </c>
      <c r="B3">
        <v>0.922432859399684</v>
      </c>
      <c r="C3">
        <v>5</v>
      </c>
      <c r="D3">
        <v>3.87096774193548</v>
      </c>
      <c r="E3">
        <v>4.0268456375838882E-2</v>
      </c>
      <c r="F3">
        <v>-1.3950350180286311</v>
      </c>
      <c r="G3">
        <v>1</v>
      </c>
      <c r="H3">
        <v>1</v>
      </c>
    </row>
    <row r="4" spans="1:8" x14ac:dyDescent="0.25">
      <c r="A4">
        <v>1.5</v>
      </c>
      <c r="B4">
        <v>1.24391785150078</v>
      </c>
      <c r="C4">
        <v>5</v>
      </c>
      <c r="D4">
        <v>6.9677419354838497</v>
      </c>
      <c r="E4">
        <v>7.4895977808598913E-2</v>
      </c>
      <c r="F4">
        <v>-1.1255415048964621</v>
      </c>
      <c r="G4">
        <v>1</v>
      </c>
      <c r="H4">
        <v>1</v>
      </c>
    </row>
    <row r="5" spans="1:8" x14ac:dyDescent="0.25">
      <c r="A5">
        <v>1.5</v>
      </c>
      <c r="B5">
        <v>1.4541864139020499</v>
      </c>
      <c r="C5">
        <v>5</v>
      </c>
      <c r="D5">
        <v>17.5483870967741</v>
      </c>
      <c r="E5">
        <v>0.21283255086071851</v>
      </c>
      <c r="F5">
        <v>-0.67196194978818546</v>
      </c>
      <c r="G5">
        <v>1</v>
      </c>
      <c r="H5">
        <v>1</v>
      </c>
    </row>
    <row r="6" spans="1:8" x14ac:dyDescent="0.25">
      <c r="A6">
        <v>1.5</v>
      </c>
      <c r="B6">
        <v>1.5984202211690299</v>
      </c>
      <c r="C6">
        <v>5</v>
      </c>
      <c r="D6">
        <v>25.2903225806451</v>
      </c>
      <c r="E6">
        <v>0.33851468048359129</v>
      </c>
      <c r="F6">
        <v>-0.47042249237096162</v>
      </c>
      <c r="G6">
        <v>1</v>
      </c>
      <c r="H6">
        <v>1</v>
      </c>
    </row>
    <row r="7" spans="1:8" x14ac:dyDescent="0.25">
      <c r="A7">
        <v>1.5</v>
      </c>
      <c r="B7">
        <v>1.81216429699842</v>
      </c>
      <c r="C7">
        <v>5</v>
      </c>
      <c r="D7">
        <v>32.774193548387103</v>
      </c>
      <c r="E7">
        <v>0.48752399232245702</v>
      </c>
      <c r="F7">
        <v>-0.31200400667958628</v>
      </c>
      <c r="G7">
        <v>1</v>
      </c>
      <c r="H7">
        <v>1</v>
      </c>
    </row>
    <row r="8" spans="1:8" x14ac:dyDescent="0.25">
      <c r="A8">
        <v>1.25</v>
      </c>
      <c r="B8">
        <v>0.75908372827804105</v>
      </c>
      <c r="C8">
        <v>5</v>
      </c>
      <c r="D8">
        <v>6.9677419354838497</v>
      </c>
      <c r="E8">
        <v>7.4895977808598913E-2</v>
      </c>
      <c r="F8">
        <v>-1.1255415048964621</v>
      </c>
      <c r="G8">
        <v>1</v>
      </c>
      <c r="H8">
        <v>1</v>
      </c>
    </row>
    <row r="9" spans="1:8" x14ac:dyDescent="0.25">
      <c r="A9">
        <v>1.25</v>
      </c>
      <c r="B9">
        <v>0.89810426540284305</v>
      </c>
      <c r="C9">
        <v>5</v>
      </c>
      <c r="D9">
        <v>8</v>
      </c>
      <c r="E9">
        <v>8.6956521739130432E-2</v>
      </c>
      <c r="F9">
        <v>-1.060697840353612</v>
      </c>
      <c r="G9">
        <v>1</v>
      </c>
      <c r="H9">
        <v>1</v>
      </c>
    </row>
    <row r="10" spans="1:8" x14ac:dyDescent="0.25">
      <c r="A10">
        <v>1.25</v>
      </c>
      <c r="B10">
        <v>1.23522906793048</v>
      </c>
      <c r="C10">
        <v>5</v>
      </c>
      <c r="D10">
        <v>20.387096774193498</v>
      </c>
      <c r="E10">
        <v>0.25607779578606082</v>
      </c>
      <c r="F10">
        <v>-0.59162807707882048</v>
      </c>
      <c r="G10">
        <v>1</v>
      </c>
      <c r="H10">
        <v>1</v>
      </c>
    </row>
    <row r="11" spans="1:8" x14ac:dyDescent="0.25">
      <c r="A11">
        <v>1.25</v>
      </c>
      <c r="B11">
        <v>1.3690363349131101</v>
      </c>
      <c r="C11">
        <v>5</v>
      </c>
      <c r="D11">
        <v>30.451612903225701</v>
      </c>
      <c r="E11">
        <v>0.43784786641929291</v>
      </c>
      <c r="F11">
        <v>-0.35867676221663419</v>
      </c>
      <c r="G11">
        <v>1</v>
      </c>
      <c r="H11">
        <v>1</v>
      </c>
    </row>
    <row r="12" spans="1:8" x14ac:dyDescent="0.25">
      <c r="A12">
        <v>1.25</v>
      </c>
      <c r="B12">
        <v>1.5897314375987299</v>
      </c>
      <c r="C12">
        <v>5</v>
      </c>
      <c r="D12">
        <v>39.4838709677419</v>
      </c>
      <c r="E12">
        <v>0.65245202558635296</v>
      </c>
      <c r="F12">
        <v>-0.18545141623350389</v>
      </c>
      <c r="G12">
        <v>1</v>
      </c>
      <c r="H12">
        <v>1</v>
      </c>
    </row>
    <row r="13" spans="1:8" x14ac:dyDescent="0.25">
      <c r="A13">
        <v>1.25</v>
      </c>
      <c r="B13">
        <v>1.76524486571879</v>
      </c>
      <c r="C13">
        <v>5</v>
      </c>
      <c r="D13">
        <v>45.677419354838698</v>
      </c>
      <c r="E13">
        <v>0.84085510688836063</v>
      </c>
      <c r="F13">
        <v>-7.5278833809880707E-2</v>
      </c>
      <c r="G13">
        <v>1</v>
      </c>
      <c r="H13">
        <v>1</v>
      </c>
    </row>
    <row r="14" spans="1:8" x14ac:dyDescent="0.25">
      <c r="A14">
        <v>1</v>
      </c>
      <c r="B14">
        <v>0.75039494470774004</v>
      </c>
      <c r="C14">
        <v>5</v>
      </c>
      <c r="D14">
        <v>12.1290322580645</v>
      </c>
      <c r="E14">
        <v>0.13803230543318629</v>
      </c>
      <c r="F14">
        <v>-0.86001925831308712</v>
      </c>
      <c r="G14">
        <v>1</v>
      </c>
      <c r="H14">
        <v>1</v>
      </c>
    </row>
    <row r="15" spans="1:8" x14ac:dyDescent="0.25">
      <c r="A15">
        <v>1</v>
      </c>
      <c r="B15">
        <v>0.89984202211690301</v>
      </c>
      <c r="C15">
        <v>5</v>
      </c>
      <c r="D15">
        <v>20.645161290322498</v>
      </c>
      <c r="E15">
        <v>0.26016260162601501</v>
      </c>
      <c r="F15">
        <v>-0.58475513311949412</v>
      </c>
      <c r="G15">
        <v>1</v>
      </c>
      <c r="H15">
        <v>1</v>
      </c>
    </row>
    <row r="16" spans="1:8" x14ac:dyDescent="0.25">
      <c r="A16">
        <v>1</v>
      </c>
      <c r="B16">
        <v>1.20047393364928</v>
      </c>
      <c r="C16">
        <v>5</v>
      </c>
      <c r="D16">
        <v>31.225806451612801</v>
      </c>
      <c r="E16">
        <v>0.45403377110693971</v>
      </c>
      <c r="F16">
        <v>-0.34291184304614308</v>
      </c>
      <c r="G16">
        <v>1</v>
      </c>
      <c r="H16">
        <v>1</v>
      </c>
    </row>
    <row r="17" spans="1:8" x14ac:dyDescent="0.25">
      <c r="A17">
        <v>1</v>
      </c>
      <c r="B17">
        <v>1.4020537124802499</v>
      </c>
      <c r="C17">
        <v>5</v>
      </c>
      <c r="D17">
        <v>42.580645161290299</v>
      </c>
      <c r="E17">
        <v>0.74157303370786443</v>
      </c>
      <c r="F17">
        <v>-0.12984607110304461</v>
      </c>
      <c r="G17">
        <v>1</v>
      </c>
      <c r="H17">
        <v>1</v>
      </c>
    </row>
    <row r="18" spans="1:8" x14ac:dyDescent="0.25">
      <c r="A18">
        <v>1</v>
      </c>
      <c r="B18">
        <v>1.6018957345971501</v>
      </c>
      <c r="C18">
        <v>5</v>
      </c>
      <c r="D18">
        <v>52.129032258064498</v>
      </c>
      <c r="E18">
        <v>1.0889487870619941</v>
      </c>
      <c r="F18">
        <v>3.7007455495558783E-2</v>
      </c>
      <c r="G18">
        <v>1</v>
      </c>
      <c r="H18">
        <v>1</v>
      </c>
    </row>
    <row r="19" spans="1:8" x14ac:dyDescent="0.25">
      <c r="A19">
        <v>0.75</v>
      </c>
      <c r="B19">
        <v>0.76951026856240101</v>
      </c>
      <c r="C19">
        <v>5</v>
      </c>
      <c r="D19">
        <v>19.612903225806399</v>
      </c>
      <c r="E19">
        <v>0.24398073836275999</v>
      </c>
      <c r="F19">
        <v>-0.61264445871439843</v>
      </c>
      <c r="G19">
        <v>1</v>
      </c>
      <c r="H19">
        <v>1</v>
      </c>
    </row>
    <row r="20" spans="1:8" x14ac:dyDescent="0.25">
      <c r="A20">
        <v>0.75</v>
      </c>
      <c r="B20">
        <v>0.87725118483412301</v>
      </c>
      <c r="C20">
        <v>5</v>
      </c>
      <c r="D20">
        <v>28.129032258064498</v>
      </c>
      <c r="E20">
        <v>0.3913824057450625</v>
      </c>
      <c r="F20">
        <v>-0.40739870156912439</v>
      </c>
      <c r="G20">
        <v>1</v>
      </c>
      <c r="H20">
        <v>1</v>
      </c>
    </row>
    <row r="21" spans="1:8" x14ac:dyDescent="0.25">
      <c r="A21">
        <v>0.75</v>
      </c>
      <c r="B21">
        <v>1.25608214849921</v>
      </c>
      <c r="C21">
        <v>5</v>
      </c>
      <c r="D21">
        <v>41.0322580645161</v>
      </c>
      <c r="E21">
        <v>0.69584245076586348</v>
      </c>
      <c r="F21">
        <v>-0.15748908008541809</v>
      </c>
      <c r="G21">
        <v>1</v>
      </c>
      <c r="H21">
        <v>1</v>
      </c>
    </row>
    <row r="22" spans="1:8" x14ac:dyDescent="0.25">
      <c r="A22">
        <v>0.75</v>
      </c>
      <c r="B22">
        <v>1.4037914691943101</v>
      </c>
      <c r="C22">
        <v>5</v>
      </c>
      <c r="D22">
        <v>52.645161290322498</v>
      </c>
      <c r="E22">
        <v>1.111716621253402</v>
      </c>
      <c r="F22">
        <v>4.5994098837789217E-2</v>
      </c>
      <c r="G22">
        <v>1</v>
      </c>
      <c r="H22">
        <v>1</v>
      </c>
    </row>
    <row r="23" spans="1:8" x14ac:dyDescent="0.25">
      <c r="A23">
        <v>0.75</v>
      </c>
      <c r="B23">
        <v>1.56887835703001</v>
      </c>
      <c r="C23">
        <v>5</v>
      </c>
      <c r="D23">
        <v>59.096774193548299</v>
      </c>
      <c r="E23">
        <v>1.444794952681383</v>
      </c>
      <c r="F23">
        <v>0.15980621578611609</v>
      </c>
      <c r="G23">
        <v>1</v>
      </c>
      <c r="H23">
        <v>1</v>
      </c>
    </row>
    <row r="24" spans="1:8" x14ac:dyDescent="0.25">
      <c r="A24">
        <v>0.5</v>
      </c>
      <c r="B24">
        <v>0.74865718799367997</v>
      </c>
      <c r="C24">
        <v>5</v>
      </c>
      <c r="D24">
        <v>25.5483870967741</v>
      </c>
      <c r="E24">
        <v>0.3431542461005182</v>
      </c>
      <c r="F24">
        <v>-0.46451062289420247</v>
      </c>
      <c r="G24">
        <v>8</v>
      </c>
      <c r="H24">
        <v>1</v>
      </c>
    </row>
    <row r="25" spans="1:8" x14ac:dyDescent="0.25">
      <c r="A25">
        <v>0.5</v>
      </c>
      <c r="B25">
        <v>0.90157977883096296</v>
      </c>
      <c r="C25">
        <v>5</v>
      </c>
      <c r="D25">
        <v>36.903225806451601</v>
      </c>
      <c r="E25">
        <v>0.58486707566462137</v>
      </c>
      <c r="F25">
        <v>-0.2329428259945775</v>
      </c>
      <c r="G25">
        <v>8</v>
      </c>
      <c r="H25">
        <v>1</v>
      </c>
    </row>
    <row r="26" spans="1:8" x14ac:dyDescent="0.25">
      <c r="A26">
        <v>0.5</v>
      </c>
      <c r="B26">
        <v>1.20047393364928</v>
      </c>
      <c r="C26">
        <v>5</v>
      </c>
      <c r="D26">
        <v>47.4838709677419</v>
      </c>
      <c r="E26">
        <v>0.90417690417690288</v>
      </c>
      <c r="F26">
        <v>-4.3746590551702998E-2</v>
      </c>
      <c r="G26">
        <v>8</v>
      </c>
      <c r="H26">
        <v>1</v>
      </c>
    </row>
    <row r="27" spans="1:8" x14ac:dyDescent="0.25">
      <c r="A27">
        <v>0.5</v>
      </c>
      <c r="B27">
        <v>1.4003159557661899</v>
      </c>
      <c r="C27">
        <v>5</v>
      </c>
      <c r="D27">
        <v>62.193548387096698</v>
      </c>
      <c r="E27">
        <v>1.6450511945392441</v>
      </c>
      <c r="F27">
        <v>0.21617941788473871</v>
      </c>
      <c r="G27">
        <v>8</v>
      </c>
      <c r="H27">
        <v>1</v>
      </c>
    </row>
    <row r="28" spans="1:8" x14ac:dyDescent="0.25">
      <c r="A28">
        <v>0.5</v>
      </c>
      <c r="B28">
        <v>1.6001579778830901</v>
      </c>
      <c r="C28">
        <v>5</v>
      </c>
      <c r="D28">
        <v>73.0322580645161</v>
      </c>
      <c r="E28">
        <v>2.7081339712918622</v>
      </c>
      <c r="F28">
        <v>0.43267014507721679</v>
      </c>
      <c r="G28">
        <v>8</v>
      </c>
      <c r="H28">
        <v>1</v>
      </c>
    </row>
    <row r="29" spans="1:8" s="7" customFormat="1" x14ac:dyDescent="0.25">
      <c r="A29" s="7">
        <v>0.25</v>
      </c>
      <c r="B29" s="7">
        <v>0.73475513428119998</v>
      </c>
      <c r="C29" s="7">
        <v>5</v>
      </c>
      <c r="D29" s="7">
        <v>33.5483870967741</v>
      </c>
      <c r="E29" s="7">
        <v>0.50485436893203661</v>
      </c>
      <c r="F29" s="7">
        <v>-0.29683388107037489</v>
      </c>
      <c r="G29">
        <v>8</v>
      </c>
      <c r="H29">
        <v>1</v>
      </c>
    </row>
    <row r="30" spans="1:8" s="7" customFormat="1" x14ac:dyDescent="0.25">
      <c r="A30" s="7">
        <v>0.25</v>
      </c>
      <c r="B30" s="7">
        <v>0.90157977883096296</v>
      </c>
      <c r="C30" s="7">
        <v>5</v>
      </c>
      <c r="D30" s="7">
        <v>45.935483870967701</v>
      </c>
      <c r="E30" s="7">
        <v>0.84964200477326834</v>
      </c>
      <c r="F30" s="7">
        <v>-7.0764024993420827E-2</v>
      </c>
      <c r="G30">
        <v>8</v>
      </c>
      <c r="H30">
        <v>1</v>
      </c>
    </row>
    <row r="31" spans="1:8" s="7" customFormat="1" x14ac:dyDescent="0.25">
      <c r="A31" s="7">
        <v>0.25</v>
      </c>
      <c r="B31" s="7">
        <v>1.1170616113744001</v>
      </c>
      <c r="C31" s="7">
        <v>5</v>
      </c>
      <c r="D31" s="7">
        <v>55.741935483870897</v>
      </c>
      <c r="E31" s="7">
        <v>1.259475218658888</v>
      </c>
      <c r="F31" s="7">
        <v>0.1001896267721403</v>
      </c>
      <c r="G31">
        <v>8</v>
      </c>
      <c r="H31">
        <v>1</v>
      </c>
    </row>
    <row r="32" spans="1:8" s="7" customFormat="1" x14ac:dyDescent="0.25">
      <c r="A32" s="7">
        <v>0.25</v>
      </c>
      <c r="B32" s="7">
        <v>1.38988941548183</v>
      </c>
      <c r="C32" s="7">
        <v>5</v>
      </c>
      <c r="D32" s="7">
        <v>72.516129032257993</v>
      </c>
      <c r="E32" s="7">
        <v>2.6384976525821502</v>
      </c>
      <c r="F32" s="7">
        <v>0.42135671213032178</v>
      </c>
      <c r="G32">
        <v>8</v>
      </c>
      <c r="H32">
        <v>1</v>
      </c>
    </row>
    <row r="33" spans="1:8" s="7" customFormat="1" x14ac:dyDescent="0.25">
      <c r="A33" s="7">
        <v>0.25</v>
      </c>
      <c r="B33" s="7">
        <v>1.57930489731437</v>
      </c>
      <c r="C33" s="7">
        <v>5</v>
      </c>
      <c r="D33" s="7">
        <v>83.354838709677395</v>
      </c>
      <c r="E33" s="7">
        <v>5.0077519379844873</v>
      </c>
      <c r="F33" s="7">
        <v>0.69964280769583431</v>
      </c>
      <c r="G33">
        <v>8</v>
      </c>
      <c r="H33">
        <v>1</v>
      </c>
    </row>
    <row r="34" spans="1:8" s="7" customFormat="1" x14ac:dyDescent="0.25">
      <c r="A34" s="7">
        <v>0</v>
      </c>
      <c r="B34" s="7">
        <v>0.5</v>
      </c>
      <c r="C34" s="7">
        <v>1</v>
      </c>
      <c r="D34" s="7">
        <v>8.43</v>
      </c>
      <c r="E34" s="7">
        <v>0.27618215572785848</v>
      </c>
      <c r="F34" s="7">
        <v>-0.55880438484237782</v>
      </c>
      <c r="G34">
        <v>8</v>
      </c>
      <c r="H34" s="7">
        <v>3</v>
      </c>
    </row>
    <row r="35" spans="1:8" s="7" customFormat="1" x14ac:dyDescent="0.25">
      <c r="A35" s="7">
        <v>0</v>
      </c>
      <c r="B35" s="7">
        <v>0.5</v>
      </c>
      <c r="C35" s="7">
        <v>2</v>
      </c>
      <c r="D35" s="7">
        <v>15.59</v>
      </c>
      <c r="E35" s="7">
        <v>0.55408126999170715</v>
      </c>
      <c r="F35" s="7">
        <v>-0.25642653036117807</v>
      </c>
      <c r="G35">
        <v>8</v>
      </c>
      <c r="H35" s="7">
        <v>3</v>
      </c>
    </row>
    <row r="36" spans="1:8" s="7" customFormat="1" x14ac:dyDescent="0.25">
      <c r="A36" s="7">
        <v>0</v>
      </c>
      <c r="B36" s="7">
        <v>0.5</v>
      </c>
      <c r="C36" s="7">
        <v>3</v>
      </c>
      <c r="D36" s="7">
        <v>20.18</v>
      </c>
      <c r="E36" s="7">
        <v>0.75845652718616896</v>
      </c>
      <c r="F36" s="7">
        <v>-0.12006930682745021</v>
      </c>
      <c r="G36">
        <v>8</v>
      </c>
      <c r="H36" s="7">
        <v>3</v>
      </c>
    </row>
    <row r="37" spans="1:8" s="7" customFormat="1" x14ac:dyDescent="0.25">
      <c r="A37" s="7">
        <v>0</v>
      </c>
      <c r="B37" s="7">
        <v>0.5</v>
      </c>
      <c r="C37" s="7">
        <v>4</v>
      </c>
      <c r="D37" s="7">
        <v>28.24</v>
      </c>
      <c r="E37" s="7">
        <v>1.1806020066889631</v>
      </c>
      <c r="F37" s="7">
        <v>7.2103517063392866E-2</v>
      </c>
      <c r="G37">
        <v>8</v>
      </c>
      <c r="H37" s="7">
        <v>3</v>
      </c>
    </row>
    <row r="38" spans="1:8" s="7" customFormat="1" x14ac:dyDescent="0.25">
      <c r="A38" s="7">
        <v>0</v>
      </c>
      <c r="B38" s="7">
        <v>0.5</v>
      </c>
      <c r="C38" s="7">
        <v>5</v>
      </c>
      <c r="D38" s="7">
        <v>38.65</v>
      </c>
      <c r="E38" s="7">
        <v>1.889975550122249</v>
      </c>
      <c r="F38" s="7">
        <v>0.27645618591098309</v>
      </c>
      <c r="G38">
        <v>8</v>
      </c>
      <c r="H38" s="7">
        <v>3</v>
      </c>
    </row>
    <row r="39" spans="1:8" x14ac:dyDescent="0.25">
      <c r="H39" s="7"/>
    </row>
    <row r="40" spans="1:8" x14ac:dyDescent="0.25">
      <c r="H40" s="7"/>
    </row>
    <row r="41" spans="1:8" x14ac:dyDescent="0.25">
      <c r="H41" s="7"/>
    </row>
    <row r="42" spans="1:8" x14ac:dyDescent="0.25">
      <c r="H42" s="7"/>
    </row>
    <row r="43" spans="1:8" x14ac:dyDescent="0.25">
      <c r="H43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7D81-62EA-436C-A3B6-67C7F04DA4D1}">
  <dimension ref="A1:J43"/>
  <sheetViews>
    <sheetView tabSelected="1" workbookViewId="0">
      <selection activeCell="M22" sqref="M22"/>
    </sheetView>
  </sheetViews>
  <sheetFormatPr defaultRowHeight="15" x14ac:dyDescent="0.25"/>
  <cols>
    <col min="1" max="1" width="11.85546875" bestFit="1" customWidth="1"/>
    <col min="6" max="6" width="10.7109375" bestFit="1" customWidth="1"/>
  </cols>
  <sheetData>
    <row r="1" spans="1:10" x14ac:dyDescent="0.25">
      <c r="A1" t="s">
        <v>51</v>
      </c>
      <c r="B1" t="s">
        <v>1</v>
      </c>
      <c r="C1" t="s">
        <v>0</v>
      </c>
      <c r="D1" t="s">
        <v>52</v>
      </c>
      <c r="E1" t="s">
        <v>53</v>
      </c>
      <c r="F1" t="s">
        <v>54</v>
      </c>
      <c r="G1" t="s">
        <v>55</v>
      </c>
      <c r="H1" t="s">
        <v>64</v>
      </c>
    </row>
    <row r="2" spans="1:10" x14ac:dyDescent="0.25">
      <c r="A2">
        <v>1.5</v>
      </c>
      <c r="B2">
        <v>0.75908372827804105</v>
      </c>
      <c r="C2">
        <v>5</v>
      </c>
      <c r="D2">
        <v>3.3548387096774199</v>
      </c>
      <c r="E2">
        <v>3.4712950600801068E-2</v>
      </c>
      <c r="F2">
        <v>-1.459508469728648</v>
      </c>
      <c r="G2">
        <v>8</v>
      </c>
      <c r="H2">
        <v>1</v>
      </c>
      <c r="J2">
        <f>A2/176.12</f>
        <v>8.5169202816261641E-3</v>
      </c>
    </row>
    <row r="3" spans="1:10" x14ac:dyDescent="0.25">
      <c r="A3">
        <v>1.5</v>
      </c>
      <c r="B3">
        <v>0.922432859399684</v>
      </c>
      <c r="C3">
        <v>5</v>
      </c>
      <c r="D3">
        <v>3.87096774193548</v>
      </c>
      <c r="E3">
        <v>4.0268456375838882E-2</v>
      </c>
      <c r="F3">
        <v>-1.3950350180286311</v>
      </c>
      <c r="G3">
        <v>8</v>
      </c>
      <c r="H3">
        <v>1</v>
      </c>
      <c r="J3">
        <f t="shared" ref="J3:J38" si="0">A3/176.12</f>
        <v>8.5169202816261641E-3</v>
      </c>
    </row>
    <row r="4" spans="1:10" x14ac:dyDescent="0.25">
      <c r="A4">
        <v>1.5</v>
      </c>
      <c r="B4">
        <v>1.24391785150078</v>
      </c>
      <c r="C4">
        <v>5</v>
      </c>
      <c r="D4">
        <v>6.9677419354838497</v>
      </c>
      <c r="E4">
        <v>7.4895977808598913E-2</v>
      </c>
      <c r="F4">
        <v>-1.1255415048964621</v>
      </c>
      <c r="G4">
        <v>8</v>
      </c>
      <c r="H4">
        <v>1</v>
      </c>
      <c r="J4">
        <f t="shared" si="0"/>
        <v>8.5169202816261641E-3</v>
      </c>
    </row>
    <row r="5" spans="1:10" x14ac:dyDescent="0.25">
      <c r="A5">
        <v>1.5</v>
      </c>
      <c r="B5">
        <v>1.4541864139020499</v>
      </c>
      <c r="C5">
        <v>5</v>
      </c>
      <c r="D5">
        <v>17.5483870967741</v>
      </c>
      <c r="E5">
        <v>0.21283255086071851</v>
      </c>
      <c r="F5">
        <v>-0.67196194978818546</v>
      </c>
      <c r="G5">
        <v>8</v>
      </c>
      <c r="H5">
        <v>1</v>
      </c>
      <c r="J5">
        <f t="shared" si="0"/>
        <v>8.5169202816261641E-3</v>
      </c>
    </row>
    <row r="6" spans="1:10" x14ac:dyDescent="0.25">
      <c r="A6">
        <v>1.5</v>
      </c>
      <c r="B6">
        <v>1.5984202211690299</v>
      </c>
      <c r="C6">
        <v>5</v>
      </c>
      <c r="D6">
        <v>25.2903225806451</v>
      </c>
      <c r="E6">
        <v>0.33851468048359129</v>
      </c>
      <c r="F6">
        <v>-0.47042249237096162</v>
      </c>
      <c r="G6">
        <v>8</v>
      </c>
      <c r="H6">
        <v>1</v>
      </c>
      <c r="J6">
        <f t="shared" si="0"/>
        <v>8.5169202816261641E-3</v>
      </c>
    </row>
    <row r="7" spans="1:10" x14ac:dyDescent="0.25">
      <c r="A7">
        <v>1.5</v>
      </c>
      <c r="B7">
        <v>1.81216429699842</v>
      </c>
      <c r="C7">
        <v>5</v>
      </c>
      <c r="D7">
        <v>32.774193548387103</v>
      </c>
      <c r="E7">
        <v>0.48752399232245702</v>
      </c>
      <c r="F7">
        <v>-0.31200400667958628</v>
      </c>
      <c r="G7">
        <v>8</v>
      </c>
      <c r="H7">
        <v>1</v>
      </c>
      <c r="J7">
        <f t="shared" si="0"/>
        <v>8.5169202816261641E-3</v>
      </c>
    </row>
    <row r="8" spans="1:10" x14ac:dyDescent="0.25">
      <c r="A8">
        <v>1.25</v>
      </c>
      <c r="B8">
        <v>0.75908372827804105</v>
      </c>
      <c r="C8">
        <v>5</v>
      </c>
      <c r="D8">
        <v>6.9677419354838497</v>
      </c>
      <c r="E8">
        <v>7.4895977808598913E-2</v>
      </c>
      <c r="F8">
        <v>-1.1255415048964621</v>
      </c>
      <c r="G8">
        <v>6</v>
      </c>
      <c r="H8">
        <v>1</v>
      </c>
      <c r="J8">
        <f t="shared" si="0"/>
        <v>7.0974335680218034E-3</v>
      </c>
    </row>
    <row r="9" spans="1:10" x14ac:dyDescent="0.25">
      <c r="A9">
        <v>1.25</v>
      </c>
      <c r="B9">
        <v>0.89810426540284305</v>
      </c>
      <c r="C9">
        <v>5</v>
      </c>
      <c r="D9">
        <v>8</v>
      </c>
      <c r="E9">
        <v>8.6956521739130432E-2</v>
      </c>
      <c r="F9">
        <v>-1.060697840353612</v>
      </c>
      <c r="G9">
        <v>6</v>
      </c>
      <c r="H9">
        <v>1</v>
      </c>
      <c r="J9">
        <f t="shared" si="0"/>
        <v>7.0974335680218034E-3</v>
      </c>
    </row>
    <row r="10" spans="1:10" x14ac:dyDescent="0.25">
      <c r="A10">
        <v>1.25</v>
      </c>
      <c r="B10">
        <v>1.23522906793048</v>
      </c>
      <c r="C10">
        <v>5</v>
      </c>
      <c r="D10">
        <v>20.387096774193498</v>
      </c>
      <c r="E10">
        <v>0.25607779578606082</v>
      </c>
      <c r="F10">
        <v>-0.59162807707882048</v>
      </c>
      <c r="G10">
        <v>6</v>
      </c>
      <c r="H10">
        <v>1</v>
      </c>
      <c r="J10">
        <f t="shared" si="0"/>
        <v>7.0974335680218034E-3</v>
      </c>
    </row>
    <row r="11" spans="1:10" x14ac:dyDescent="0.25">
      <c r="A11">
        <v>1.25</v>
      </c>
      <c r="B11">
        <v>1.3690363349131101</v>
      </c>
      <c r="C11">
        <v>5</v>
      </c>
      <c r="D11">
        <v>30.451612903225701</v>
      </c>
      <c r="E11">
        <v>0.43784786641929291</v>
      </c>
      <c r="F11">
        <v>-0.35867676221663419</v>
      </c>
      <c r="G11">
        <v>6</v>
      </c>
      <c r="H11">
        <v>1</v>
      </c>
      <c r="J11">
        <f t="shared" si="0"/>
        <v>7.0974335680218034E-3</v>
      </c>
    </row>
    <row r="12" spans="1:10" x14ac:dyDescent="0.25">
      <c r="A12">
        <v>1.25</v>
      </c>
      <c r="B12">
        <v>1.5897314375987299</v>
      </c>
      <c r="C12">
        <v>5</v>
      </c>
      <c r="D12">
        <v>39.4838709677419</v>
      </c>
      <c r="E12">
        <v>0.65245202558635296</v>
      </c>
      <c r="F12">
        <v>-0.18545141623350389</v>
      </c>
      <c r="G12">
        <v>6</v>
      </c>
      <c r="H12">
        <v>1</v>
      </c>
      <c r="J12">
        <f t="shared" si="0"/>
        <v>7.0974335680218034E-3</v>
      </c>
    </row>
    <row r="13" spans="1:10" x14ac:dyDescent="0.25">
      <c r="A13">
        <v>1.25</v>
      </c>
      <c r="B13">
        <v>1.76524486571879</v>
      </c>
      <c r="C13">
        <v>5</v>
      </c>
      <c r="D13">
        <v>45.677419354838698</v>
      </c>
      <c r="E13">
        <v>0.84085510688836063</v>
      </c>
      <c r="F13">
        <v>-7.5278833809880707E-2</v>
      </c>
      <c r="G13">
        <v>6</v>
      </c>
      <c r="H13">
        <v>1</v>
      </c>
      <c r="J13">
        <f t="shared" si="0"/>
        <v>7.0974335680218034E-3</v>
      </c>
    </row>
    <row r="14" spans="1:10" x14ac:dyDescent="0.25">
      <c r="A14">
        <v>1</v>
      </c>
      <c r="B14">
        <v>0.75039494470774004</v>
      </c>
      <c r="C14">
        <v>5</v>
      </c>
      <c r="D14">
        <v>12.1290322580645</v>
      </c>
      <c r="E14">
        <v>0.13803230543318629</v>
      </c>
      <c r="F14">
        <v>-0.86001925831308712</v>
      </c>
      <c r="G14">
        <v>6</v>
      </c>
      <c r="H14">
        <v>1</v>
      </c>
      <c r="J14">
        <f t="shared" si="0"/>
        <v>5.6779468544174427E-3</v>
      </c>
    </row>
    <row r="15" spans="1:10" x14ac:dyDescent="0.25">
      <c r="A15">
        <v>1</v>
      </c>
      <c r="B15">
        <v>0.89984202211690301</v>
      </c>
      <c r="C15">
        <v>5</v>
      </c>
      <c r="D15">
        <v>20.645161290322498</v>
      </c>
      <c r="E15">
        <v>0.26016260162601501</v>
      </c>
      <c r="F15">
        <v>-0.58475513311949412</v>
      </c>
      <c r="G15">
        <v>6</v>
      </c>
      <c r="H15">
        <v>1</v>
      </c>
      <c r="J15">
        <f t="shared" si="0"/>
        <v>5.6779468544174427E-3</v>
      </c>
    </row>
    <row r="16" spans="1:10" x14ac:dyDescent="0.25">
      <c r="A16">
        <v>1</v>
      </c>
      <c r="B16">
        <v>1.20047393364928</v>
      </c>
      <c r="C16">
        <v>5</v>
      </c>
      <c r="D16">
        <v>31.225806451612801</v>
      </c>
      <c r="E16">
        <v>0.45403377110693971</v>
      </c>
      <c r="F16">
        <v>-0.34291184304614308</v>
      </c>
      <c r="G16">
        <v>6</v>
      </c>
      <c r="H16">
        <v>1</v>
      </c>
      <c r="J16">
        <f t="shared" si="0"/>
        <v>5.6779468544174427E-3</v>
      </c>
    </row>
    <row r="17" spans="1:10" x14ac:dyDescent="0.25">
      <c r="A17">
        <v>1</v>
      </c>
      <c r="B17">
        <v>1.4020537124802499</v>
      </c>
      <c r="C17">
        <v>5</v>
      </c>
      <c r="D17">
        <v>42.580645161290299</v>
      </c>
      <c r="E17">
        <v>0.74157303370786443</v>
      </c>
      <c r="F17">
        <v>-0.12984607110304461</v>
      </c>
      <c r="G17">
        <v>6</v>
      </c>
      <c r="H17">
        <v>1</v>
      </c>
      <c r="J17">
        <f t="shared" si="0"/>
        <v>5.6779468544174427E-3</v>
      </c>
    </row>
    <row r="18" spans="1:10" x14ac:dyDescent="0.25">
      <c r="A18">
        <v>1</v>
      </c>
      <c r="B18">
        <v>1.6018957345971501</v>
      </c>
      <c r="C18">
        <v>5</v>
      </c>
      <c r="D18">
        <v>52.129032258064498</v>
      </c>
      <c r="E18">
        <v>1.0889487870619941</v>
      </c>
      <c r="F18">
        <v>3.7007455495558783E-2</v>
      </c>
      <c r="G18">
        <v>6</v>
      </c>
      <c r="H18">
        <v>1</v>
      </c>
      <c r="J18">
        <f t="shared" si="0"/>
        <v>5.6779468544174427E-3</v>
      </c>
    </row>
    <row r="19" spans="1:10" x14ac:dyDescent="0.25">
      <c r="A19">
        <v>0.75</v>
      </c>
      <c r="B19">
        <v>0.76951026856240101</v>
      </c>
      <c r="C19">
        <v>5</v>
      </c>
      <c r="D19">
        <v>19.612903225806399</v>
      </c>
      <c r="E19">
        <v>0.24398073836275999</v>
      </c>
      <c r="F19">
        <v>-0.61264445871439843</v>
      </c>
      <c r="G19">
        <v>6</v>
      </c>
      <c r="H19">
        <v>1</v>
      </c>
      <c r="J19">
        <f t="shared" si="0"/>
        <v>4.2584601408130821E-3</v>
      </c>
    </row>
    <row r="20" spans="1:10" x14ac:dyDescent="0.25">
      <c r="A20">
        <v>0.75</v>
      </c>
      <c r="B20">
        <v>0.87725118483412301</v>
      </c>
      <c r="C20">
        <v>5</v>
      </c>
      <c r="D20">
        <v>28.129032258064498</v>
      </c>
      <c r="E20">
        <v>0.3913824057450625</v>
      </c>
      <c r="F20">
        <v>-0.40739870156912439</v>
      </c>
      <c r="G20">
        <v>6</v>
      </c>
      <c r="H20">
        <v>1</v>
      </c>
      <c r="J20">
        <f t="shared" si="0"/>
        <v>4.2584601408130821E-3</v>
      </c>
    </row>
    <row r="21" spans="1:10" x14ac:dyDescent="0.25">
      <c r="A21">
        <v>0.75</v>
      </c>
      <c r="B21">
        <v>1.25608214849921</v>
      </c>
      <c r="C21">
        <v>5</v>
      </c>
      <c r="D21">
        <v>41.0322580645161</v>
      </c>
      <c r="E21">
        <v>0.69584245076586348</v>
      </c>
      <c r="F21">
        <v>-0.15748908008541809</v>
      </c>
      <c r="G21">
        <v>6</v>
      </c>
      <c r="H21">
        <v>1</v>
      </c>
      <c r="J21">
        <f t="shared" si="0"/>
        <v>4.2584601408130821E-3</v>
      </c>
    </row>
    <row r="22" spans="1:10" x14ac:dyDescent="0.25">
      <c r="A22">
        <v>0.75</v>
      </c>
      <c r="B22">
        <v>1.4037914691943101</v>
      </c>
      <c r="C22">
        <v>5</v>
      </c>
      <c r="D22">
        <v>52.645161290322498</v>
      </c>
      <c r="E22">
        <v>1.111716621253402</v>
      </c>
      <c r="F22">
        <v>4.5994098837789217E-2</v>
      </c>
      <c r="G22">
        <v>6</v>
      </c>
      <c r="H22">
        <v>1</v>
      </c>
      <c r="J22">
        <f t="shared" si="0"/>
        <v>4.2584601408130821E-3</v>
      </c>
    </row>
    <row r="23" spans="1:10" x14ac:dyDescent="0.25">
      <c r="A23">
        <v>0.75</v>
      </c>
      <c r="B23">
        <v>1.56887835703001</v>
      </c>
      <c r="C23">
        <v>5</v>
      </c>
      <c r="D23">
        <v>59.096774193548299</v>
      </c>
      <c r="E23">
        <v>1.444794952681383</v>
      </c>
      <c r="F23">
        <v>0.15980621578611609</v>
      </c>
      <c r="G23">
        <v>6</v>
      </c>
      <c r="H23">
        <v>1</v>
      </c>
      <c r="J23">
        <f t="shared" si="0"/>
        <v>4.2584601408130821E-3</v>
      </c>
    </row>
    <row r="24" spans="1:10" x14ac:dyDescent="0.25">
      <c r="A24">
        <v>0.5</v>
      </c>
      <c r="B24">
        <v>0.74865718799367997</v>
      </c>
      <c r="C24">
        <v>5</v>
      </c>
      <c r="D24">
        <v>25.5483870967741</v>
      </c>
      <c r="E24">
        <v>0.3431542461005182</v>
      </c>
      <c r="F24">
        <v>-0.46451062289420247</v>
      </c>
      <c r="G24">
        <v>6</v>
      </c>
      <c r="H24">
        <v>1</v>
      </c>
      <c r="J24">
        <f t="shared" si="0"/>
        <v>2.8389734272087214E-3</v>
      </c>
    </row>
    <row r="25" spans="1:10" x14ac:dyDescent="0.25">
      <c r="A25">
        <v>0.5</v>
      </c>
      <c r="B25">
        <v>0.90157977883096296</v>
      </c>
      <c r="C25">
        <v>5</v>
      </c>
      <c r="D25">
        <v>36.903225806451601</v>
      </c>
      <c r="E25">
        <v>0.58486707566462137</v>
      </c>
      <c r="F25">
        <v>-0.2329428259945775</v>
      </c>
      <c r="G25">
        <v>6</v>
      </c>
      <c r="H25">
        <v>1</v>
      </c>
      <c r="J25">
        <f t="shared" si="0"/>
        <v>2.8389734272087214E-3</v>
      </c>
    </row>
    <row r="26" spans="1:10" x14ac:dyDescent="0.25">
      <c r="A26">
        <v>0.5</v>
      </c>
      <c r="B26">
        <v>1.20047393364928</v>
      </c>
      <c r="C26">
        <v>5</v>
      </c>
      <c r="D26">
        <v>47.4838709677419</v>
      </c>
      <c r="E26">
        <v>0.90417690417690288</v>
      </c>
      <c r="F26">
        <v>-4.3746590551702998E-2</v>
      </c>
      <c r="G26">
        <v>6</v>
      </c>
      <c r="H26">
        <v>1</v>
      </c>
      <c r="J26">
        <f t="shared" si="0"/>
        <v>2.8389734272087214E-3</v>
      </c>
    </row>
    <row r="27" spans="1:10" x14ac:dyDescent="0.25">
      <c r="A27">
        <v>0.5</v>
      </c>
      <c r="B27">
        <v>1.4003159557661899</v>
      </c>
      <c r="C27">
        <v>5</v>
      </c>
      <c r="D27">
        <v>62.193548387096698</v>
      </c>
      <c r="E27">
        <v>1.6450511945392441</v>
      </c>
      <c r="F27">
        <v>0.21617941788473871</v>
      </c>
      <c r="G27">
        <v>6</v>
      </c>
      <c r="H27">
        <v>1</v>
      </c>
      <c r="J27">
        <f t="shared" si="0"/>
        <v>2.8389734272087214E-3</v>
      </c>
    </row>
    <row r="28" spans="1:10" x14ac:dyDescent="0.25">
      <c r="A28">
        <v>0.5</v>
      </c>
      <c r="B28">
        <v>1.6001579778830901</v>
      </c>
      <c r="C28">
        <v>5</v>
      </c>
      <c r="D28">
        <v>73.0322580645161</v>
      </c>
      <c r="E28">
        <v>2.7081339712918622</v>
      </c>
      <c r="F28">
        <v>0.43267014507721679</v>
      </c>
      <c r="G28">
        <v>6</v>
      </c>
      <c r="H28">
        <v>1</v>
      </c>
      <c r="J28">
        <f t="shared" si="0"/>
        <v>2.8389734272087214E-3</v>
      </c>
    </row>
    <row r="29" spans="1:10" s="7" customFormat="1" x14ac:dyDescent="0.25">
      <c r="A29" s="7">
        <v>0.25</v>
      </c>
      <c r="B29" s="7">
        <v>0.73475513428119998</v>
      </c>
      <c r="C29" s="7">
        <v>5</v>
      </c>
      <c r="D29" s="7">
        <v>33.5483870967741</v>
      </c>
      <c r="E29" s="7">
        <v>0.50485436893203661</v>
      </c>
      <c r="F29" s="7">
        <v>-0.29683388107037489</v>
      </c>
      <c r="G29">
        <v>8</v>
      </c>
      <c r="H29">
        <v>1</v>
      </c>
      <c r="J29">
        <f t="shared" si="0"/>
        <v>1.4194867136043607E-3</v>
      </c>
    </row>
    <row r="30" spans="1:10" s="7" customFormat="1" x14ac:dyDescent="0.25">
      <c r="A30" s="7">
        <v>0.25</v>
      </c>
      <c r="B30" s="7">
        <v>0.90157977883096296</v>
      </c>
      <c r="C30" s="7">
        <v>5</v>
      </c>
      <c r="D30" s="7">
        <v>45.935483870967701</v>
      </c>
      <c r="E30" s="7">
        <v>0.84964200477326834</v>
      </c>
      <c r="F30" s="7">
        <v>-7.0764024993420827E-2</v>
      </c>
      <c r="G30">
        <v>8</v>
      </c>
      <c r="H30">
        <v>1</v>
      </c>
      <c r="J30">
        <f t="shared" si="0"/>
        <v>1.4194867136043607E-3</v>
      </c>
    </row>
    <row r="31" spans="1:10" s="7" customFormat="1" x14ac:dyDescent="0.25">
      <c r="A31" s="7">
        <v>0.25</v>
      </c>
      <c r="B31" s="7">
        <v>1.1170616113744001</v>
      </c>
      <c r="C31" s="7">
        <v>5</v>
      </c>
      <c r="D31" s="7">
        <v>55.741935483870897</v>
      </c>
      <c r="E31" s="7">
        <v>1.259475218658888</v>
      </c>
      <c r="F31" s="7">
        <v>0.1001896267721403</v>
      </c>
      <c r="G31">
        <v>8</v>
      </c>
      <c r="H31">
        <v>1</v>
      </c>
      <c r="J31">
        <f t="shared" si="0"/>
        <v>1.4194867136043607E-3</v>
      </c>
    </row>
    <row r="32" spans="1:10" s="7" customFormat="1" x14ac:dyDescent="0.25">
      <c r="A32" s="7">
        <v>0.25</v>
      </c>
      <c r="B32" s="7">
        <v>1.38988941548183</v>
      </c>
      <c r="C32" s="7">
        <v>5</v>
      </c>
      <c r="D32" s="7">
        <v>72.516129032257993</v>
      </c>
      <c r="E32" s="7">
        <v>2.6384976525821502</v>
      </c>
      <c r="F32" s="7">
        <v>0.42135671213032178</v>
      </c>
      <c r="G32">
        <v>8</v>
      </c>
      <c r="H32">
        <v>1</v>
      </c>
      <c r="J32">
        <f t="shared" si="0"/>
        <v>1.4194867136043607E-3</v>
      </c>
    </row>
    <row r="33" spans="1:10" s="7" customFormat="1" x14ac:dyDescent="0.25">
      <c r="A33" s="7">
        <v>0.25</v>
      </c>
      <c r="B33" s="7">
        <v>1.57930489731437</v>
      </c>
      <c r="C33" s="7">
        <v>5</v>
      </c>
      <c r="D33" s="7">
        <v>83.354838709677395</v>
      </c>
      <c r="E33" s="7">
        <v>5.0077519379844873</v>
      </c>
      <c r="F33" s="7">
        <v>0.69964280769583431</v>
      </c>
      <c r="G33">
        <v>8</v>
      </c>
      <c r="H33">
        <v>1</v>
      </c>
      <c r="J33">
        <f t="shared" si="0"/>
        <v>1.4194867136043607E-3</v>
      </c>
    </row>
    <row r="34" spans="1:10" s="7" customFormat="1" x14ac:dyDescent="0.25">
      <c r="A34" s="7">
        <v>0</v>
      </c>
      <c r="B34" s="7">
        <v>0.5</v>
      </c>
      <c r="C34" s="7">
        <v>1</v>
      </c>
      <c r="D34" s="7">
        <v>8.43</v>
      </c>
      <c r="E34" s="7">
        <v>0.27618215572785848</v>
      </c>
      <c r="F34" s="7">
        <v>-0.55880438484237782</v>
      </c>
      <c r="G34">
        <v>8</v>
      </c>
      <c r="H34" s="7">
        <v>3</v>
      </c>
      <c r="J34">
        <f t="shared" si="0"/>
        <v>0</v>
      </c>
    </row>
    <row r="35" spans="1:10" s="7" customFormat="1" x14ac:dyDescent="0.25">
      <c r="A35" s="7">
        <v>0</v>
      </c>
      <c r="B35" s="7">
        <v>0.5</v>
      </c>
      <c r="C35" s="7">
        <v>2</v>
      </c>
      <c r="D35" s="7">
        <v>15.59</v>
      </c>
      <c r="E35" s="7">
        <v>0.55408126999170715</v>
      </c>
      <c r="F35" s="7">
        <v>-0.25642653036117807</v>
      </c>
      <c r="G35">
        <v>8</v>
      </c>
      <c r="H35" s="7">
        <v>3</v>
      </c>
      <c r="J35">
        <f t="shared" si="0"/>
        <v>0</v>
      </c>
    </row>
    <row r="36" spans="1:10" s="7" customFormat="1" x14ac:dyDescent="0.25">
      <c r="A36" s="7">
        <v>0</v>
      </c>
      <c r="B36" s="7">
        <v>0.5</v>
      </c>
      <c r="C36" s="7">
        <v>3</v>
      </c>
      <c r="D36" s="7">
        <v>20.18</v>
      </c>
      <c r="E36" s="7">
        <v>0.75845652718616896</v>
      </c>
      <c r="F36" s="7">
        <v>-0.12006930682745021</v>
      </c>
      <c r="G36">
        <v>8</v>
      </c>
      <c r="H36" s="7">
        <v>3</v>
      </c>
      <c r="J36">
        <f t="shared" si="0"/>
        <v>0</v>
      </c>
    </row>
    <row r="37" spans="1:10" s="7" customFormat="1" x14ac:dyDescent="0.25">
      <c r="A37" s="7">
        <v>0</v>
      </c>
      <c r="B37" s="7">
        <v>0.5</v>
      </c>
      <c r="C37" s="7">
        <v>4</v>
      </c>
      <c r="D37" s="7">
        <v>28.24</v>
      </c>
      <c r="E37" s="7">
        <v>1.1806020066889631</v>
      </c>
      <c r="F37" s="7">
        <v>7.2103517063392866E-2</v>
      </c>
      <c r="G37">
        <v>8</v>
      </c>
      <c r="H37" s="7">
        <v>3</v>
      </c>
      <c r="J37">
        <f t="shared" si="0"/>
        <v>0</v>
      </c>
    </row>
    <row r="38" spans="1:10" s="7" customFormat="1" x14ac:dyDescent="0.25">
      <c r="A38" s="7">
        <v>0</v>
      </c>
      <c r="B38" s="7">
        <v>0.5</v>
      </c>
      <c r="C38" s="7">
        <v>5</v>
      </c>
      <c r="D38" s="7">
        <v>38.65</v>
      </c>
      <c r="E38" s="7">
        <v>1.889975550122249</v>
      </c>
      <c r="F38" s="7">
        <v>0.27645618591098309</v>
      </c>
      <c r="G38">
        <v>8</v>
      </c>
      <c r="H38" s="7">
        <v>3</v>
      </c>
      <c r="J38">
        <f t="shared" si="0"/>
        <v>0</v>
      </c>
    </row>
    <row r="39" spans="1:10" x14ac:dyDescent="0.25">
      <c r="H39" s="7"/>
    </row>
    <row r="40" spans="1:10" x14ac:dyDescent="0.25">
      <c r="H40" s="7"/>
    </row>
    <row r="41" spans="1:10" x14ac:dyDescent="0.25">
      <c r="H41" s="7"/>
    </row>
    <row r="42" spans="1:10" x14ac:dyDescent="0.25">
      <c r="H42" s="7"/>
    </row>
    <row r="43" spans="1:10" x14ac:dyDescent="0.25">
      <c r="H4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Sheet2 (2)</vt:lpstr>
      <vt:lpstr>Sheet1</vt:lpstr>
      <vt:lpstr>Sheet2</vt:lpstr>
      <vt:lpstr>Sheet3</vt:lpstr>
      <vt:lpstr>model validation new</vt:lpstr>
      <vt:lpstr>model validation</vt:lpstr>
      <vt:lpstr>parameter values</vt:lpstr>
      <vt:lpstr>parameter values feed dosage</vt:lpstr>
      <vt:lpstr>parameter values out dosage</vt:lpstr>
      <vt:lpstr>impurities</vt:lpstr>
      <vt:lpstr>impurities new</vt:lpstr>
      <vt:lpstr>new parameter values</vt:lpstr>
      <vt:lpstr>Fe only</vt:lpstr>
      <vt:lpstr>Fe only (2)</vt:lpstr>
      <vt:lpstr>Fe only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Arkoprabho Dasgupta</dc:creator>
  <cp:lastModifiedBy>Arkoprabho Dasgupta</cp:lastModifiedBy>
  <dcterms:created xsi:type="dcterms:W3CDTF">2015-06-05T18:17:20Z</dcterms:created>
  <dcterms:modified xsi:type="dcterms:W3CDTF">2026-06-25T19:50:33Z</dcterms:modified>
</cp:coreProperties>
</file>